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_Diarios" sheetId="2" state="visible" r:id="rId2"/>
    <sheet xmlns:r="http://schemas.openxmlformats.org/officeDocument/2006/relationships" name="Curva_S_Diaria" sheetId="3" state="visible" r:id="rId3"/>
    <sheet xmlns:r="http://schemas.openxmlformats.org/officeDocument/2006/relationships" name="Curva_S_Semanal" sheetId="4" state="visible" r:id="rId4"/>
    <sheet xmlns:r="http://schemas.openxmlformats.org/officeDocument/2006/relationships" name="PD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&quot; h&quot;"/>
    <numFmt numFmtId="165" formatCode="dd/mmm/yy"/>
    <numFmt numFmtId="166" formatCode="\+0.00%;\-0.00%"/>
    <numFmt numFmtId="167" formatCode="0.0%"/>
    <numFmt numFmtId="168" formatCode="\+0.0%;\-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2F5597"/>
      <sz val="9"/>
    </font>
    <font>
      <name val="Arial"/>
      <charset val="1"/>
      <family val="0"/>
      <b val="1"/>
      <color rgb="FF2F5597"/>
      <sz val="9"/>
    </font>
    <font>
      <name val="Arial"/>
      <charset val="1"/>
      <family val="0"/>
      <b val="1"/>
      <color rgb="FF7B3C0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color rgb="FF000000"/>
      <sz val="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color rgb="FF595959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AACCEE"/>
      <sz val="8"/>
    </font>
    <font>
      <name val="Arial"/>
      <charset val="1"/>
      <family val="0"/>
      <b val="1"/>
      <color rgb="FFFFFFFF"/>
      <sz val="20"/>
    </font>
  </fonts>
  <fills count="16">
    <fill>
      <patternFill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F5597"/>
        <bgColor rgb="FF305496"/>
      </patternFill>
    </fill>
    <fill>
      <patternFill patternType="solid">
        <fgColor rgb="FFEBF3FB"/>
        <bgColor rgb="FFEBF7E6"/>
      </patternFill>
    </fill>
    <fill>
      <patternFill patternType="solid">
        <fgColor rgb="FFFFF2CC"/>
        <bgColor rgb="FFFFF8D6"/>
      </patternFill>
    </fill>
    <fill>
      <patternFill patternType="solid">
        <fgColor rgb="FFFFFFFF"/>
        <bgColor rgb="FFFFFBE6"/>
      </patternFill>
    </fill>
    <fill>
      <patternFill patternType="solid">
        <fgColor rgb="FFEBF7E6"/>
        <bgColor rgb="FFEBF3FB"/>
      </patternFill>
    </fill>
    <fill>
      <patternFill patternType="solid">
        <fgColor rgb="FFFFFBE6"/>
        <bgColor rgb="FFFFF8D6"/>
      </patternFill>
    </fill>
    <fill>
      <patternFill patternType="solid">
        <fgColor rgb="FFD6EFC6"/>
        <bgColor rgb="FFEBF7E6"/>
      </patternFill>
    </fill>
    <fill>
      <patternFill patternType="solid">
        <fgColor rgb="FFFFF8D6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2E4057"/>
      </patternFill>
    </fill>
    <fill>
      <patternFill patternType="solid">
        <fgColor rgb="FF7F3C00"/>
        <bgColor rgb="FF7B3C00"/>
      </patternFill>
    </fill>
    <fill>
      <patternFill patternType="solid">
        <fgColor rgb="FF2E4057"/>
        <bgColor rgb="FF1F3864"/>
      </patternFill>
    </fill>
    <fill>
      <patternFill patternType="solid">
        <fgColor rgb="FF305496"/>
        <bgColor rgb="FF2F559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D7D31"/>
      </left>
      <right style="medium">
        <color rgb="FFED7D31"/>
      </right>
      <top style="thin">
        <color rgb="FFFFC000"/>
      </top>
      <bottom style="thin">
        <color rgb="FFFFC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AACCEE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0" fontId="7" fillId="4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9" fontId="9" fillId="5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0" fontId="13" fillId="7" borderId="1" applyAlignment="1" pivotButton="0" quotePrefix="0" xfId="0">
      <alignment horizontal="center" vertical="center" wrapText="1"/>
    </xf>
    <xf numFmtId="166" fontId="10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0" fontId="13" fillId="9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165" fontId="19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165" fontId="19" fillId="6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 wrapText="1"/>
    </xf>
    <xf numFmtId="10" fontId="21" fillId="2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center" vertical="center" wrapText="1"/>
    </xf>
    <xf numFmtId="0" fontId="23" fillId="12" borderId="3" applyAlignment="1" pivotButton="0" quotePrefix="0" xfId="0">
      <alignment horizontal="center" vertical="center" wrapText="1"/>
    </xf>
    <xf numFmtId="0" fontId="23" fillId="13" borderId="3" applyAlignment="1" pivotButton="0" quotePrefix="0" xfId="0">
      <alignment horizontal="center" vertical="center" wrapText="1"/>
    </xf>
    <xf numFmtId="0" fontId="23" fillId="14" borderId="3" applyAlignment="1" pivotButton="0" quotePrefix="0" xfId="0">
      <alignment horizontal="center" vertical="center" wrapText="1"/>
    </xf>
    <xf numFmtId="167" fontId="24" fillId="2" borderId="4" applyAlignment="1" pivotButton="0" quotePrefix="0" xfId="0">
      <alignment horizontal="center" vertical="center" wrapText="1"/>
    </xf>
    <xf numFmtId="167" fontId="24" fillId="12" borderId="4" applyAlignment="1" pivotButton="0" quotePrefix="0" xfId="0">
      <alignment horizontal="center" vertical="center" wrapText="1"/>
    </xf>
    <xf numFmtId="168" fontId="24" fillId="13" borderId="4" applyAlignment="1" pivotButton="0" quotePrefix="0" xfId="0">
      <alignment horizontal="center" vertical="center" wrapText="1"/>
    </xf>
    <xf numFmtId="1" fontId="24" fillId="14" borderId="4" applyAlignment="1" pivotButton="0" quotePrefix="0" xfId="0">
      <alignment horizontal="center" vertical="center" wrapText="1"/>
    </xf>
    <xf numFmtId="49" fontId="24" fillId="2" borderId="4" applyAlignment="1" pivotButton="0" quotePrefix="0" xfId="0">
      <alignment horizontal="center" vertical="center" wrapText="1"/>
    </xf>
    <xf numFmtId="49" fontId="24" fillId="12" borderId="4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0" fontId="7" fillId="4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9" fontId="9" fillId="5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0" fontId="13" fillId="7" borderId="1" applyAlignment="1" pivotButton="0" quotePrefix="0" xfId="0">
      <alignment horizontal="center" vertical="center" wrapText="1"/>
    </xf>
    <xf numFmtId="166" fontId="10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0" fontId="13" fillId="9" borderId="1" applyAlignment="1" pivotButton="0" quotePrefix="0" xfId="0">
      <alignment horizontal="center" vertical="center" wrapText="1"/>
    </xf>
    <xf numFmtId="166" fontId="10" fillId="6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165" fontId="19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165" fontId="19" fillId="6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 wrapText="1"/>
    </xf>
    <xf numFmtId="10" fontId="21" fillId="2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center" vertical="center" wrapText="1"/>
    </xf>
    <xf numFmtId="0" fontId="23" fillId="12" borderId="3" applyAlignment="1" pivotButton="0" quotePrefix="0" xfId="0">
      <alignment horizontal="center" vertical="center" wrapText="1"/>
    </xf>
    <xf numFmtId="0" fontId="23" fillId="13" borderId="3" applyAlignment="1" pivotButton="0" quotePrefix="0" xfId="0">
      <alignment horizontal="center" vertical="center" wrapText="1"/>
    </xf>
    <xf numFmtId="0" fontId="23" fillId="14" borderId="3" applyAlignment="1" pivotButton="0" quotePrefix="0" xfId="0">
      <alignment horizontal="center" vertical="center" wrapText="1"/>
    </xf>
    <xf numFmtId="167" fontId="24" fillId="2" borderId="4" applyAlignment="1" pivotButton="0" quotePrefix="0" xfId="0">
      <alignment horizontal="center" vertical="center" wrapText="1"/>
    </xf>
    <xf numFmtId="167" fontId="24" fillId="12" borderId="4" applyAlignment="1" pivotButton="0" quotePrefix="0" xfId="0">
      <alignment horizontal="center" vertical="center" wrapText="1"/>
    </xf>
    <xf numFmtId="168" fontId="24" fillId="13" borderId="4" applyAlignment="1" pivotButton="0" quotePrefix="0" xfId="0">
      <alignment horizontal="center" vertical="center" wrapText="1"/>
    </xf>
    <xf numFmtId="1" fontId="24" fillId="14" borderId="4" applyAlignment="1" pivotButton="0" quotePrefix="0" xfId="0">
      <alignment horizontal="center" vertical="center" wrapText="1"/>
    </xf>
    <xf numFmtId="49" fontId="24" fillId="2" borderId="4" applyAlignment="1" pivotButton="0" quotePrefix="0" xfId="0">
      <alignment horizontal="center" vertical="center" wrapText="1"/>
    </xf>
    <xf numFmtId="49" fontId="24" fillId="12" borderId="4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B3C00"/>
      <rgbColor rgb="FFFFF8D6"/>
      <rgbColor rgb="FFEBF3FB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7E6"/>
      <rgbColor rgb="FFD6EFC6"/>
      <rgbColor rgb="FFFFF2CC"/>
      <rgbColor rgb="FFAACCEE"/>
      <rgbColor rgb="FFFF99CC"/>
      <rgbColor rgb="FFCC99FF"/>
      <rgbColor rgb="FFFFFBE6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339966"/>
      <rgbColor rgb="FF003300"/>
      <rgbColor rgb="FF375623"/>
      <rgbColor rgb="FF7F3C00"/>
      <rgbColor rgb="FF993366"/>
      <rgbColor rgb="FF305496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CURVA S — AVANCE DIARIO (Plan vs Real)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"% Plan Acumulado"</f>
              <strCache>
                <ptCount val="1"/>
                <pt idx="0">
                  <v>% Plan Acumulado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120">
              <a:solidFill>
                <a:srgbClr val="2f559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Curva_S_Diaria!$B$4:$B$54</f>
              <strCache>
                <ptCount val="51"/>
                <pt idx="0">
                  <v>07/Apr/26</v>
                </pt>
                <pt idx="1">
                  <v>08/Apr/26</v>
                </pt>
                <pt idx="2">
                  <v>09/Apr/26</v>
                </pt>
                <pt idx="3">
                  <v>10/Apr/26</v>
                </pt>
                <pt idx="4">
                  <v>11/Apr/26</v>
                </pt>
                <pt idx="5">
                  <v>12/Apr/26</v>
                </pt>
                <pt idx="6">
                  <v>13/Apr/26</v>
                </pt>
                <pt idx="7">
                  <v>14/Apr/26</v>
                </pt>
                <pt idx="8">
                  <v>15/Apr/26</v>
                </pt>
                <pt idx="9">
                  <v>16/Apr/26</v>
                </pt>
                <pt idx="10">
                  <v>17/Apr/26</v>
                </pt>
                <pt idx="11">
                  <v>18/Apr/26</v>
                </pt>
                <pt idx="12">
                  <v>19/Apr/26</v>
                </pt>
                <pt idx="13">
                  <v>20/Apr/26</v>
                </pt>
                <pt idx="14">
                  <v>21/Apr/26</v>
                </pt>
                <pt idx="15">
                  <v>22/Apr/26</v>
                </pt>
                <pt idx="16">
                  <v>23/Apr/26</v>
                </pt>
                <pt idx="17">
                  <v>24/Apr/26</v>
                </pt>
                <pt idx="18">
                  <v>25/Apr/26</v>
                </pt>
                <pt idx="19">
                  <v>26/Apr/26</v>
                </pt>
                <pt idx="20">
                  <v>27/Apr/26</v>
                </pt>
                <pt idx="21">
                  <v>28/Apr/26</v>
                </pt>
                <pt idx="22">
                  <v>29/Apr/26</v>
                </pt>
                <pt idx="23">
                  <v>30/Apr/26</v>
                </pt>
                <pt idx="24">
                  <v>01/May/26</v>
                </pt>
                <pt idx="25">
                  <v>02/May/26</v>
                </pt>
                <pt idx="26">
                  <v>03/May/26</v>
                </pt>
                <pt idx="27">
                  <v>04/May/26</v>
                </pt>
                <pt idx="28">
                  <v>05/May/26</v>
                </pt>
                <pt idx="29">
                  <v>06/May/26</v>
                </pt>
                <pt idx="30">
                  <v>07/May/26</v>
                </pt>
                <pt idx="31">
                  <v>08/May/26</v>
                </pt>
                <pt idx="32">
                  <v>09/May/26</v>
                </pt>
                <pt idx="33">
                  <v>10/May/26</v>
                </pt>
                <pt idx="34">
                  <v>11/May/26</v>
                </pt>
                <pt idx="35">
                  <v>12/May/26</v>
                </pt>
                <pt idx="36">
                  <v>13/May/26</v>
                </pt>
                <pt idx="37">
                  <v>14/May/26</v>
                </pt>
                <pt idx="38">
                  <v>15/May/26</v>
                </pt>
                <pt idx="39">
                  <v>16/May/26</v>
                </pt>
                <pt idx="40">
                  <v>17/May/26</v>
                </pt>
                <pt idx="41">
                  <v>18/May/26</v>
                </pt>
                <pt idx="42">
                  <v>19/May/26</v>
                </pt>
                <pt idx="43">
                  <v>20/May/26</v>
                </pt>
                <pt idx="44">
                  <v>21/May/26</v>
                </pt>
                <pt idx="45">
                  <v>22/May/26</v>
                </pt>
                <pt idx="46">
                  <v>23/May/26</v>
                </pt>
                <pt idx="47">
                  <v>24/May/26</v>
                </pt>
                <pt idx="48">
                  <v>25/May/26</v>
                </pt>
                <pt idx="49">
                  <v>26/May/26</v>
                </pt>
                <pt idx="50">
                  <v>27/May/26</v>
                </pt>
              </strCache>
            </strRef>
          </cat>
          <val>
            <numRef>
              <f>Curva_S_Diaria!$C$3:$C$54</f>
              <numCache>
                <formatCode>0.00%</formatCode>
                <ptCount val="52"/>
                <pt idx="1">
                  <v>0</v>
                </pt>
                <pt idx="2">
                  <v>0.0256410256410256</v>
                </pt>
                <pt idx="3">
                  <v>0.0512820512820513</v>
                </pt>
                <pt idx="4">
                  <v>0.0512820512820513</v>
                </pt>
                <pt idx="5">
                  <v>0.0512820512820513</v>
                </pt>
                <pt idx="6">
                  <v>0.0512820512820513</v>
                </pt>
                <pt idx="7">
                  <v>0.0769230769230769</v>
                </pt>
                <pt idx="8">
                  <v>0.0897435897435897</v>
                </pt>
                <pt idx="9">
                  <v>0.0897435897435897</v>
                </pt>
                <pt idx="10">
                  <v>0.115384615384615</v>
                </pt>
                <pt idx="11">
                  <v>0.115384615384615</v>
                </pt>
                <pt idx="12">
                  <v>0.115384615384615</v>
                </pt>
                <pt idx="13">
                  <v>0.115384615384615</v>
                </pt>
                <pt idx="14">
                  <v>0.141025641025641</v>
                </pt>
                <pt idx="15">
                  <v>0.141025641025641</v>
                </pt>
                <pt idx="16">
                  <v>0.141025641025641</v>
                </pt>
                <pt idx="17">
                  <v>0.17948717948718</v>
                </pt>
                <pt idx="18">
                  <v>0.17948717948718</v>
                </pt>
                <pt idx="19">
                  <v>0.17948717948718</v>
                </pt>
                <pt idx="20">
                  <v>0.17948717948718</v>
                </pt>
                <pt idx="21">
                  <v>0.205128205128205</v>
                </pt>
                <pt idx="22">
                  <v>0.205128205128205</v>
                </pt>
                <pt idx="23">
                  <v>0.230769230769231</v>
                </pt>
                <pt idx="24">
                  <v>0.230769230769231</v>
                </pt>
                <pt idx="25">
                  <v>0.230769230769231</v>
                </pt>
                <pt idx="26">
                  <v>0.230769230769231</v>
                </pt>
                <pt idx="27">
                  <v>0.230769230769231</v>
                </pt>
                <pt idx="28">
                  <v>0.269230769230769</v>
                </pt>
                <pt idx="29">
                  <v>0.294871794871795</v>
                </pt>
                <pt idx="30">
                  <v>0.358974358974359</v>
                </pt>
                <pt idx="31">
                  <v>0.423076923076923</v>
                </pt>
                <pt idx="32">
                  <v>0.461538461538462</v>
                </pt>
                <pt idx="33">
                  <v>0.474358974358974</v>
                </pt>
                <pt idx="34">
                  <v>0.576923076923077</v>
                </pt>
                <pt idx="35">
                  <v>0.576923076923077</v>
                </pt>
                <pt idx="36">
                  <v>0.666666666666667</v>
                </pt>
                <pt idx="37">
                  <v>0.7307692307692309</v>
                </pt>
                <pt idx="38">
                  <v>0.7692307692307691</v>
                </pt>
                <pt idx="39">
                  <v>0.794871794871795</v>
                </pt>
                <pt idx="40">
                  <v>0.794871794871795</v>
                </pt>
                <pt idx="41">
                  <v>0.794871794871795</v>
                </pt>
                <pt idx="42">
                  <v>0.794871794871795</v>
                </pt>
                <pt idx="43">
                  <v>0.820512820512821</v>
                </pt>
                <pt idx="44">
                  <v>0.846153846153846</v>
                </pt>
                <pt idx="45">
                  <v>0.858974358974359</v>
                </pt>
                <pt idx="46">
                  <v>0.871794871794872</v>
                </pt>
                <pt idx="47">
                  <v>0.871794871794872</v>
                </pt>
                <pt idx="48">
                  <v>0.871794871794872</v>
                </pt>
                <pt idx="49">
                  <v>0.974358974358974</v>
                </pt>
                <pt idx="50">
                  <v>0.987179487179487</v>
                </pt>
                <pt idx="51">
                  <v>1</v>
                </pt>
              </numCache>
            </numRef>
          </val>
          <smooth val="1"/>
        </ser>
        <ser>
          <idx val="1"/>
          <order val="1"/>
          <tx>
            <strRef>
              <f>"% Real Acumulado"</f>
              <strCache>
                <ptCount val="1"/>
                <pt idx="0">
                  <v>% Real Acumulado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592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Curva_S_Diaria!$B$4:$B$54</f>
              <strCache>
                <ptCount val="51"/>
                <pt idx="0">
                  <v>07/Apr/26</v>
                </pt>
                <pt idx="1">
                  <v>08/Apr/26</v>
                </pt>
                <pt idx="2">
                  <v>09/Apr/26</v>
                </pt>
                <pt idx="3">
                  <v>10/Apr/26</v>
                </pt>
                <pt idx="4">
                  <v>11/Apr/26</v>
                </pt>
                <pt idx="5">
                  <v>12/Apr/26</v>
                </pt>
                <pt idx="6">
                  <v>13/Apr/26</v>
                </pt>
                <pt idx="7">
                  <v>14/Apr/26</v>
                </pt>
                <pt idx="8">
                  <v>15/Apr/26</v>
                </pt>
                <pt idx="9">
                  <v>16/Apr/26</v>
                </pt>
                <pt idx="10">
                  <v>17/Apr/26</v>
                </pt>
                <pt idx="11">
                  <v>18/Apr/26</v>
                </pt>
                <pt idx="12">
                  <v>19/Apr/26</v>
                </pt>
                <pt idx="13">
                  <v>20/Apr/26</v>
                </pt>
                <pt idx="14">
                  <v>21/Apr/26</v>
                </pt>
                <pt idx="15">
                  <v>22/Apr/26</v>
                </pt>
                <pt idx="16">
                  <v>23/Apr/26</v>
                </pt>
                <pt idx="17">
                  <v>24/Apr/26</v>
                </pt>
                <pt idx="18">
                  <v>25/Apr/26</v>
                </pt>
                <pt idx="19">
                  <v>26/Apr/26</v>
                </pt>
                <pt idx="20">
                  <v>27/Apr/26</v>
                </pt>
                <pt idx="21">
                  <v>28/Apr/26</v>
                </pt>
                <pt idx="22">
                  <v>29/Apr/26</v>
                </pt>
                <pt idx="23">
                  <v>30/Apr/26</v>
                </pt>
                <pt idx="24">
                  <v>01/May/26</v>
                </pt>
                <pt idx="25">
                  <v>02/May/26</v>
                </pt>
                <pt idx="26">
                  <v>03/May/26</v>
                </pt>
                <pt idx="27">
                  <v>04/May/26</v>
                </pt>
                <pt idx="28">
                  <v>05/May/26</v>
                </pt>
                <pt idx="29">
                  <v>06/May/26</v>
                </pt>
                <pt idx="30">
                  <v>07/May/26</v>
                </pt>
                <pt idx="31">
                  <v>08/May/26</v>
                </pt>
                <pt idx="32">
                  <v>09/May/26</v>
                </pt>
                <pt idx="33">
                  <v>10/May/26</v>
                </pt>
                <pt idx="34">
                  <v>11/May/26</v>
                </pt>
                <pt idx="35">
                  <v>12/May/26</v>
                </pt>
                <pt idx="36">
                  <v>13/May/26</v>
                </pt>
                <pt idx="37">
                  <v>14/May/26</v>
                </pt>
                <pt idx="38">
                  <v>15/May/26</v>
                </pt>
                <pt idx="39">
                  <v>16/May/26</v>
                </pt>
                <pt idx="40">
                  <v>17/May/26</v>
                </pt>
                <pt idx="41">
                  <v>18/May/26</v>
                </pt>
                <pt idx="42">
                  <v>19/May/26</v>
                </pt>
                <pt idx="43">
                  <v>20/May/26</v>
                </pt>
                <pt idx="44">
                  <v>21/May/26</v>
                </pt>
                <pt idx="45">
                  <v>22/May/26</v>
                </pt>
                <pt idx="46">
                  <v>23/May/26</v>
                </pt>
                <pt idx="47">
                  <v>24/May/26</v>
                </pt>
                <pt idx="48">
                  <v>25/May/26</v>
                </pt>
                <pt idx="49">
                  <v>26/May/26</v>
                </pt>
                <pt idx="50">
                  <v>27/May/26</v>
                </pt>
              </strCache>
            </strRef>
          </cat>
          <val>
            <numRef>
              <f>Curva_S_Diaria!$D$3:$D$54</f>
              <numCache>
                <formatCode>0.00%</formatCode>
                <ptCount val="52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5896701"/>
        <axId val="68309628"/>
      </lineChart>
      <catAx>
        <axId val="75896701"/>
        <scaling>
          <orientation val="minMax"/>
        </scaling>
        <delete val="0"/>
        <axPos val="b"/>
        <numFmt formatCode="dd/mmm/yy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8309628"/>
        <crosses val="autoZero"/>
        <auto val="1"/>
        <lblAlgn val="ctr"/>
        <lblOffset val="100"/>
        <noMultiLvlLbl val="0"/>
      </catAx>
      <valAx>
        <axId val="6830962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Avance Acumulado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589670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CURVA S — AVANCE SEMANAL (Lun–Dom)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"% Plan Acum."</f>
              <strCache>
                <ptCount val="1"/>
                <pt idx="0">
                  <v>% Plan Acum.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120">
              <a:solidFill>
                <a:srgbClr val="2f559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Curva_S_Semanal!$A$4:$A$11</f>
              <strCache>
                <ptCount val="8"/>
                <pt idx="0">
                  <v>Semana 1</v>
                </pt>
                <pt idx="1">
                  <v>Semana 2</v>
                </pt>
                <pt idx="2">
                  <v>Semana 3</v>
                </pt>
                <pt idx="3">
                  <v>Semana 4</v>
                </pt>
                <pt idx="4">
                  <v>Semana 5</v>
                </pt>
                <pt idx="5">
                  <v>Semana 6</v>
                </pt>
                <pt idx="6">
                  <v>Semana 7</v>
                </pt>
                <pt idx="7">
                  <v>Semana 8</v>
                </pt>
              </strCache>
            </strRef>
          </cat>
          <val>
            <numRef>
              <f>Curva_S_Semanal!$E$3:$E$11</f>
              <numCache>
                <formatCode>0.00%</formatCode>
                <ptCount val="9"/>
                <pt idx="1">
                  <v>0.0512820512820513</v>
                </pt>
                <pt idx="2">
                  <v>0.115384615384615</v>
                </pt>
                <pt idx="3">
                  <v>0.17948717948718</v>
                </pt>
                <pt idx="4">
                  <v>0.230769230769231</v>
                </pt>
                <pt idx="5">
                  <v>0.576923076923077</v>
                </pt>
                <pt idx="6">
                  <v>0.794871794871795</v>
                </pt>
                <pt idx="7">
                  <v>0.871794871794872</v>
                </pt>
                <pt idx="8">
                  <v>1</v>
                </pt>
              </numCache>
            </numRef>
          </val>
          <smooth val="1"/>
        </ser>
        <ser>
          <idx val="1"/>
          <order val="1"/>
          <tx>
            <strRef>
              <f>"% Real Acum."</f>
              <strCache>
                <ptCount val="1"/>
                <pt idx="0">
                  <v>% Real Acum.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412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Curva_S_Semanal!$A$4:$A$11</f>
              <strCache>
                <ptCount val="8"/>
                <pt idx="0">
                  <v>Semana 1</v>
                </pt>
                <pt idx="1">
                  <v>Semana 2</v>
                </pt>
                <pt idx="2">
                  <v>Semana 3</v>
                </pt>
                <pt idx="3">
                  <v>Semana 4</v>
                </pt>
                <pt idx="4">
                  <v>Semana 5</v>
                </pt>
                <pt idx="5">
                  <v>Semana 6</v>
                </pt>
                <pt idx="6">
                  <v>Semana 7</v>
                </pt>
                <pt idx="7">
                  <v>Semana 8</v>
                </pt>
              </strCache>
            </strRef>
          </cat>
          <val>
            <numRef>
              <f>Curva_S_Semanal!$F$3:$F$11</f>
              <numCache>
                <formatCode>0.00%</formatCode>
                <ptCount val="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073180"/>
        <axId val="33128439"/>
      </lineChart>
      <catAx>
        <axId val="70731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3128439"/>
        <crosses val="autoZero"/>
        <auto val="1"/>
        <lblAlgn val="ctr"/>
        <lblOffset val="100"/>
        <noMultiLvlLbl val="0"/>
      </catAx>
      <valAx>
        <axId val="3312843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Avance Acumulado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07318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2</row>
      <rowOff>0</rowOff>
    </from>
    <to>
      <col>24</col>
      <colOff>404280</colOff>
      <row>35</row>
      <rowOff>31320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9</col>
      <colOff>0</colOff>
      <row>2</row>
      <rowOff>0</rowOff>
    </from>
    <to>
      <col>24</col>
      <colOff>186840</colOff>
      <row>28</row>
      <rowOff>111600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58" min="1" max="6"/>
  </cols>
  <sheetData>
    <row r="1" ht="31.5" customHeight="1" s="59">
      <c r="A1" s="105" t="inlineStr">
        <is>
          <t>📊 DASHBOARD — SINCRONISMO GENERACIÓN SANTA ROSA | CENIT</t>
        </is>
      </c>
    </row>
    <row r="2" ht="18" customHeight="1" s="59">
      <c r="A2" s="61" t="inlineStr">
        <is>
          <t>Supervisor: Ing. Edwin Grisales  |  Contratista: Confipetrol  |  Profesional: Ing. Natalia Isabel Chacón Serna</t>
        </is>
      </c>
    </row>
    <row r="3" ht="7.5" customHeight="1" s="59"/>
    <row r="4" ht="18" customHeight="1" s="59">
      <c r="A4" s="106" t="inlineStr">
        <is>
          <t>% PLAN HOY</t>
        </is>
      </c>
      <c r="B4" s="107" t="inlineStr">
        <is>
          <t>% REAL ACUM.</t>
        </is>
      </c>
      <c r="C4" s="108" t="inlineStr">
        <is>
          <t>VARIACIÓN</t>
        </is>
      </c>
      <c r="D4" s="109" t="inlineStr">
        <is>
          <t>DÍAS CON DATOS</t>
        </is>
      </c>
      <c r="E4" s="106" t="inlineStr">
        <is>
          <t>SEMANA ACTUAL</t>
        </is>
      </c>
      <c r="F4" s="107" t="inlineStr">
        <is>
          <t>ESTADO</t>
        </is>
      </c>
    </row>
    <row r="5" ht="39.75" customHeight="1" s="59">
      <c r="A5" s="110">
        <f>Curva_S_Diaria!C54</f>
        <v/>
      </c>
      <c r="B5" s="111">
        <f>Curva_S_Diaria!D54</f>
        <v/>
      </c>
      <c r="C5" s="112">
        <f>Curva_S_Diaria!E54</f>
        <v/>
      </c>
      <c r="D5" s="113">
        <f>COUNTIF(Curva_S_Diaria!D4:D54,"&gt;0")</f>
        <v/>
      </c>
      <c r="E5" s="114">
        <f>Curva_S_Semanal!A8</f>
        <v/>
      </c>
      <c r="F5" s="115">
        <f>IF(Curva_S_Diaria!E54&gt;0.005,"✅ ADELANTADO",IF(Curva_S_Diaria!E54&lt;-0.005,"⚠️ ATRASO","✅ EN META"))</f>
        <v/>
      </c>
    </row>
    <row r="7" ht="19.5" customHeight="1" s="59">
      <c r="A7" s="116" t="inlineStr">
        <is>
          <t>📈 CURVA S — VISTA GENERAL (Ver hoja Curva_S_Diaria para gráfico completo)</t>
        </is>
      </c>
    </row>
  </sheetData>
  <mergeCells count="3">
    <mergeCell ref="A2:F2"/>
    <mergeCell ref="A1:F1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8" min="1" max="1"/>
    <col width="13" customWidth="1" style="58" min="2" max="2"/>
    <col width="10" customWidth="1" style="58" min="3" max="3"/>
    <col width="6" customWidth="1" style="58" min="4" max="4"/>
    <col width="10" customWidth="1" style="58" min="5" max="6"/>
    <col width="13" customWidth="1" style="58" min="7" max="7"/>
    <col width="10" customWidth="1" style="58" min="8" max="8"/>
    <col width="12" customWidth="1" style="58" min="9" max="9"/>
    <col width="14" customWidth="1" style="58" min="10" max="10"/>
    <col width="35" customWidth="1" style="58" min="11" max="11"/>
  </cols>
  <sheetData>
    <row r="1" ht="27.75" customHeight="1" s="59">
      <c r="A1" s="99" t="inlineStr">
        <is>
          <t>📋 DATOS DIARIOS — INGRESE % REAL (columna G, fondo amarillo)</t>
        </is>
      </c>
    </row>
    <row r="2" ht="15.75" customHeight="1" s="59">
      <c r="A2" s="61" t="inlineStr">
        <is>
          <t>Jornada: 12h – 1.5h almuerzo = 10.5h efectivas/día</t>
        </is>
      </c>
    </row>
    <row r="3" ht="33.75" customHeight="1" s="59">
      <c r="A3" s="62" t="inlineStr">
        <is>
          <t>#</t>
        </is>
      </c>
      <c r="B3" s="62" t="inlineStr">
        <is>
          <t>Fecha</t>
        </is>
      </c>
      <c r="C3" s="62" t="inlineStr">
        <is>
          <t>Día</t>
        </is>
      </c>
      <c r="D3" s="62" t="inlineStr">
        <is>
          <t>Sem.</t>
        </is>
      </c>
      <c r="E3" s="62" t="inlineStr">
        <is>
          <t>% Plan
Diario</t>
        </is>
      </c>
      <c r="F3" s="62" t="inlineStr">
        <is>
          <t>% Plan
Acum.</t>
        </is>
      </c>
      <c r="G3" s="100" t="inlineStr">
        <is>
          <t>✏️ % Real
Ingresado</t>
        </is>
      </c>
      <c r="H3" s="62" t="inlineStr">
        <is>
          <t>% Real
Acum.</t>
        </is>
      </c>
      <c r="I3" s="62" t="inlineStr">
        <is>
          <t>Variación</t>
        </is>
      </c>
      <c r="J3" s="62" t="inlineStr">
        <is>
          <t>Estado</t>
        </is>
      </c>
      <c r="K3" s="62" t="inlineStr">
        <is>
          <t>Observaciones</t>
        </is>
      </c>
    </row>
    <row r="4" ht="15.75" customHeight="1" s="59">
      <c r="A4" s="95" t="n">
        <v>1</v>
      </c>
      <c r="B4" s="96" t="n">
        <v>46119</v>
      </c>
      <c r="C4" s="95" t="inlineStr">
        <is>
          <t>Martes</t>
        </is>
      </c>
      <c r="D4" s="77" t="n">
        <v>1</v>
      </c>
      <c r="E4" s="74" t="n">
        <v>0</v>
      </c>
      <c r="F4" s="75" t="n">
        <v>0</v>
      </c>
      <c r="G4" s="76" t="n">
        <v>0</v>
      </c>
      <c r="H4" s="87">
        <f>SUM($G$4:G4)</f>
        <v/>
      </c>
      <c r="I4" s="88">
        <f>H4-F4</f>
        <v/>
      </c>
      <c r="J4" s="77">
        <f>IF(G4=0,"⬜ Sin dato",IF(H4&gt;=F4,"✅ Cumplido","⚠️ Atraso"))</f>
        <v/>
      </c>
      <c r="K4" s="101" t="n"/>
    </row>
    <row r="5" ht="15.75" customHeight="1" s="59">
      <c r="A5" s="97" t="n">
        <v>2</v>
      </c>
      <c r="B5" s="98" t="n">
        <v>46120</v>
      </c>
      <c r="C5" s="97" t="inlineStr">
        <is>
          <t>Miércoles</t>
        </is>
      </c>
      <c r="D5" s="78" t="n">
        <v>1</v>
      </c>
      <c r="E5" s="82" t="n">
        <v>0.0256410256410256</v>
      </c>
      <c r="F5" s="83" t="n">
        <v>0.0256410256410256</v>
      </c>
      <c r="G5" s="76" t="n">
        <v>0</v>
      </c>
      <c r="H5" s="92">
        <f>SUM($G$4:G5)</f>
        <v/>
      </c>
      <c r="I5" s="93">
        <f>H5-F5</f>
        <v/>
      </c>
      <c r="J5" s="78">
        <f>IF(G5=0,"⬜ Sin dato",IF(H5&gt;=F5,"✅ Cumplido","⚠️ Atraso"))</f>
        <v/>
      </c>
      <c r="K5" s="102" t="n"/>
    </row>
    <row r="6" ht="15.75" customHeight="1" s="59">
      <c r="A6" s="95" t="n">
        <v>3</v>
      </c>
      <c r="B6" s="96" t="n">
        <v>46121</v>
      </c>
      <c r="C6" s="95" t="inlineStr">
        <is>
          <t>Jueves</t>
        </is>
      </c>
      <c r="D6" s="77" t="n">
        <v>1</v>
      </c>
      <c r="E6" s="74" t="n">
        <v>0.0256410256410256</v>
      </c>
      <c r="F6" s="75" t="n">
        <v>0.0512820512820513</v>
      </c>
      <c r="G6" s="76" t="n">
        <v>0</v>
      </c>
      <c r="H6" s="87">
        <f>SUM($G$4:G6)</f>
        <v/>
      </c>
      <c r="I6" s="88">
        <f>H6-F6</f>
        <v/>
      </c>
      <c r="J6" s="77">
        <f>IF(G6=0,"⬜ Sin dato",IF(H6&gt;=F6,"✅ Cumplido","⚠️ Atraso"))</f>
        <v/>
      </c>
      <c r="K6" s="101" t="n"/>
    </row>
    <row r="7" ht="15.75" customHeight="1" s="59">
      <c r="A7" s="97" t="n">
        <v>4</v>
      </c>
      <c r="B7" s="98" t="n">
        <v>46122</v>
      </c>
      <c r="C7" s="97" t="inlineStr">
        <is>
          <t>Viernes</t>
        </is>
      </c>
      <c r="D7" s="78" t="n">
        <v>1</v>
      </c>
      <c r="E7" s="82" t="n">
        <v>0</v>
      </c>
      <c r="F7" s="83" t="n">
        <v>0.0512820512820513</v>
      </c>
      <c r="G7" s="76" t="n">
        <v>0</v>
      </c>
      <c r="H7" s="92">
        <f>SUM($G$4:G7)</f>
        <v/>
      </c>
      <c r="I7" s="93">
        <f>H7-F7</f>
        <v/>
      </c>
      <c r="J7" s="78">
        <f>IF(G7=0,"⬜ Sin dato",IF(H7&gt;=F7,"✅ Cumplido","⚠️ Atraso"))</f>
        <v/>
      </c>
      <c r="K7" s="102" t="n"/>
    </row>
    <row r="8" ht="15.75" customHeight="1" s="59">
      <c r="A8" s="95" t="n">
        <v>5</v>
      </c>
      <c r="B8" s="96" t="n">
        <v>46123</v>
      </c>
      <c r="C8" s="95" t="inlineStr">
        <is>
          <t>Sábado</t>
        </is>
      </c>
      <c r="D8" s="77" t="n">
        <v>1</v>
      </c>
      <c r="E8" s="74" t="n">
        <v>0</v>
      </c>
      <c r="F8" s="75" t="n">
        <v>0.0512820512820513</v>
      </c>
      <c r="G8" s="76" t="n">
        <v>0</v>
      </c>
      <c r="H8" s="87">
        <f>SUM($G$4:G8)</f>
        <v/>
      </c>
      <c r="I8" s="88">
        <f>H8-F8</f>
        <v/>
      </c>
      <c r="J8" s="77">
        <f>IF(G8=0,"⬜ Sin dato",IF(H8&gt;=F8,"✅ Cumplido","⚠️ Atraso"))</f>
        <v/>
      </c>
      <c r="K8" s="101" t="n"/>
    </row>
    <row r="9" ht="15.75" customHeight="1" s="59">
      <c r="A9" s="97" t="n">
        <v>6</v>
      </c>
      <c r="B9" s="98" t="n">
        <v>46124</v>
      </c>
      <c r="C9" s="97" t="inlineStr">
        <is>
          <t>Domingo</t>
        </is>
      </c>
      <c r="D9" s="78" t="n">
        <v>1</v>
      </c>
      <c r="E9" s="82" t="n">
        <v>0</v>
      </c>
      <c r="F9" s="83" t="n">
        <v>0.0512820512820513</v>
      </c>
      <c r="G9" s="76" t="n">
        <v>0</v>
      </c>
      <c r="H9" s="92">
        <f>SUM($G$4:G9)</f>
        <v/>
      </c>
      <c r="I9" s="93">
        <f>H9-F9</f>
        <v/>
      </c>
      <c r="J9" s="78">
        <f>IF(G9=0,"⬜ Sin dato",IF(H9&gt;=F9,"✅ Cumplido","⚠️ Atraso"))</f>
        <v/>
      </c>
      <c r="K9" s="102" t="n"/>
    </row>
    <row r="10" ht="15.75" customHeight="1" s="59">
      <c r="A10" s="95" t="n">
        <v>7</v>
      </c>
      <c r="B10" s="96" t="n">
        <v>46125</v>
      </c>
      <c r="C10" s="95" t="inlineStr">
        <is>
          <t>Lunes</t>
        </is>
      </c>
      <c r="D10" s="77" t="n">
        <v>2</v>
      </c>
      <c r="E10" s="74" t="n">
        <v>0.0256410256410257</v>
      </c>
      <c r="F10" s="75" t="n">
        <v>0.0769230769230769</v>
      </c>
      <c r="G10" s="76" t="n">
        <v>0</v>
      </c>
      <c r="H10" s="87">
        <f>SUM($G$4:G10)</f>
        <v/>
      </c>
      <c r="I10" s="88">
        <f>H10-F10</f>
        <v/>
      </c>
      <c r="J10" s="77">
        <f>IF(G10=0,"⬜ Sin dato",IF(H10&gt;=F10,"✅ Cumplido","⚠️ Atraso"))</f>
        <v/>
      </c>
      <c r="K10" s="101" t="n"/>
    </row>
    <row r="11" ht="15.75" customHeight="1" s="59">
      <c r="A11" s="97" t="n">
        <v>8</v>
      </c>
      <c r="B11" s="98" t="n">
        <v>46126</v>
      </c>
      <c r="C11" s="97" t="inlineStr">
        <is>
          <t>Martes</t>
        </is>
      </c>
      <c r="D11" s="78" t="n">
        <v>2</v>
      </c>
      <c r="E11" s="82" t="n">
        <v>0.0128205128205128</v>
      </c>
      <c r="F11" s="83" t="n">
        <v>0.0897435897435897</v>
      </c>
      <c r="G11" s="76" t="n">
        <v>0</v>
      </c>
      <c r="H11" s="92">
        <f>SUM($G$4:G11)</f>
        <v/>
      </c>
      <c r="I11" s="93">
        <f>H11-F11</f>
        <v/>
      </c>
      <c r="J11" s="78">
        <f>IF(G11=0,"⬜ Sin dato",IF(H11&gt;=F11,"✅ Cumplido","⚠️ Atraso"))</f>
        <v/>
      </c>
      <c r="K11" s="102" t="n"/>
    </row>
    <row r="12" ht="15.75" customHeight="1" s="59">
      <c r="A12" s="95" t="n">
        <v>9</v>
      </c>
      <c r="B12" s="96" t="n">
        <v>46127</v>
      </c>
      <c r="C12" s="95" t="inlineStr">
        <is>
          <t>Miércoles</t>
        </is>
      </c>
      <c r="D12" s="77" t="n">
        <v>2</v>
      </c>
      <c r="E12" s="74" t="n">
        <v>0</v>
      </c>
      <c r="F12" s="75" t="n">
        <v>0.0897435897435897</v>
      </c>
      <c r="G12" s="76" t="n">
        <v>0</v>
      </c>
      <c r="H12" s="87">
        <f>SUM($G$4:G12)</f>
        <v/>
      </c>
      <c r="I12" s="88">
        <f>H12-F12</f>
        <v/>
      </c>
      <c r="J12" s="77">
        <f>IF(G12=0,"⬜ Sin dato",IF(H12&gt;=F12,"✅ Cumplido","⚠️ Atraso"))</f>
        <v/>
      </c>
      <c r="K12" s="101" t="n"/>
    </row>
    <row r="13" ht="15.75" customHeight="1" s="59">
      <c r="A13" s="97" t="n">
        <v>10</v>
      </c>
      <c r="B13" s="98" t="n">
        <v>46128</v>
      </c>
      <c r="C13" s="97" t="inlineStr">
        <is>
          <t>Jueves</t>
        </is>
      </c>
      <c r="D13" s="78" t="n">
        <v>2</v>
      </c>
      <c r="E13" s="82" t="n">
        <v>0.0256410256410257</v>
      </c>
      <c r="F13" s="83" t="n">
        <v>0.115384615384615</v>
      </c>
      <c r="G13" s="76" t="n">
        <v>0</v>
      </c>
      <c r="H13" s="92">
        <f>SUM($G$4:G13)</f>
        <v/>
      </c>
      <c r="I13" s="93">
        <f>H13-F13</f>
        <v/>
      </c>
      <c r="J13" s="78">
        <f>IF(G13=0,"⬜ Sin dato",IF(H13&gt;=F13,"✅ Cumplido","⚠️ Atraso"))</f>
        <v/>
      </c>
      <c r="K13" s="102" t="n"/>
    </row>
    <row r="14" ht="15.75" customHeight="1" s="59">
      <c r="A14" s="95" t="n">
        <v>11</v>
      </c>
      <c r="B14" s="96" t="n">
        <v>46129</v>
      </c>
      <c r="C14" s="95" t="inlineStr">
        <is>
          <t>Viernes</t>
        </is>
      </c>
      <c r="D14" s="77" t="n">
        <v>2</v>
      </c>
      <c r="E14" s="74" t="n">
        <v>0</v>
      </c>
      <c r="F14" s="75" t="n">
        <v>0.115384615384615</v>
      </c>
      <c r="G14" s="76" t="n">
        <v>0</v>
      </c>
      <c r="H14" s="87">
        <f>SUM($G$4:G14)</f>
        <v/>
      </c>
      <c r="I14" s="88">
        <f>H14-F14</f>
        <v/>
      </c>
      <c r="J14" s="77">
        <f>IF(G14=0,"⬜ Sin dato",IF(H14&gt;=F14,"✅ Cumplido","⚠️ Atraso"))</f>
        <v/>
      </c>
      <c r="K14" s="101" t="n"/>
    </row>
    <row r="15" ht="15.75" customHeight="1" s="59">
      <c r="A15" s="97" t="n">
        <v>12</v>
      </c>
      <c r="B15" s="98" t="n">
        <v>46130</v>
      </c>
      <c r="C15" s="97" t="inlineStr">
        <is>
          <t>Sábado</t>
        </is>
      </c>
      <c r="D15" s="78" t="n">
        <v>2</v>
      </c>
      <c r="E15" s="82" t="n">
        <v>0</v>
      </c>
      <c r="F15" s="83" t="n">
        <v>0.115384615384615</v>
      </c>
      <c r="G15" s="76" t="n">
        <v>0</v>
      </c>
      <c r="H15" s="92">
        <f>SUM($G$4:G15)</f>
        <v/>
      </c>
      <c r="I15" s="93">
        <f>H15-F15</f>
        <v/>
      </c>
      <c r="J15" s="78">
        <f>IF(G15=0,"⬜ Sin dato",IF(H15&gt;=F15,"✅ Cumplido","⚠️ Atraso"))</f>
        <v/>
      </c>
      <c r="K15" s="102" t="n"/>
    </row>
    <row r="16" ht="15.75" customHeight="1" s="59">
      <c r="A16" s="95" t="n">
        <v>13</v>
      </c>
      <c r="B16" s="96" t="n">
        <v>46131</v>
      </c>
      <c r="C16" s="95" t="inlineStr">
        <is>
          <t>Domingo</t>
        </is>
      </c>
      <c r="D16" s="77" t="n">
        <v>2</v>
      </c>
      <c r="E16" s="74" t="n">
        <v>0</v>
      </c>
      <c r="F16" s="75" t="n">
        <v>0.115384615384615</v>
      </c>
      <c r="G16" s="76" t="n">
        <v>0</v>
      </c>
      <c r="H16" s="87">
        <f>SUM($G$4:G16)</f>
        <v/>
      </c>
      <c r="I16" s="88">
        <f>H16-F16</f>
        <v/>
      </c>
      <c r="J16" s="77">
        <f>IF(G16=0,"⬜ Sin dato",IF(H16&gt;=F16,"✅ Cumplido","⚠️ Atraso"))</f>
        <v/>
      </c>
      <c r="K16" s="101" t="n"/>
    </row>
    <row r="17" ht="15.75" customHeight="1" s="59">
      <c r="A17" s="97" t="n">
        <v>14</v>
      </c>
      <c r="B17" s="98" t="n">
        <v>46132</v>
      </c>
      <c r="C17" s="97" t="inlineStr">
        <is>
          <t>Lunes</t>
        </is>
      </c>
      <c r="D17" s="78" t="n">
        <v>3</v>
      </c>
      <c r="E17" s="82" t="n">
        <v>0.0256410256410256</v>
      </c>
      <c r="F17" s="83" t="n">
        <v>0.141025641025641</v>
      </c>
      <c r="G17" s="76" t="n">
        <v>0</v>
      </c>
      <c r="H17" s="92">
        <f>SUM($G$4:G17)</f>
        <v/>
      </c>
      <c r="I17" s="93">
        <f>H17-F17</f>
        <v/>
      </c>
      <c r="J17" s="78">
        <f>IF(G17=0,"⬜ Sin dato",IF(H17&gt;=F17,"✅ Cumplido","⚠️ Atraso"))</f>
        <v/>
      </c>
      <c r="K17" s="102" t="n"/>
    </row>
    <row r="18" ht="15.75" customHeight="1" s="59">
      <c r="A18" s="95" t="n">
        <v>15</v>
      </c>
      <c r="B18" s="96" t="n">
        <v>46133</v>
      </c>
      <c r="C18" s="95" t="inlineStr">
        <is>
          <t>Martes</t>
        </is>
      </c>
      <c r="D18" s="77" t="n">
        <v>3</v>
      </c>
      <c r="E18" s="74" t="n">
        <v>0</v>
      </c>
      <c r="F18" s="75" t="n">
        <v>0.141025641025641</v>
      </c>
      <c r="G18" s="76" t="n">
        <v>0</v>
      </c>
      <c r="H18" s="87">
        <f>SUM($G$4:G18)</f>
        <v/>
      </c>
      <c r="I18" s="88">
        <f>H18-F18</f>
        <v/>
      </c>
      <c r="J18" s="77">
        <f>IF(G18=0,"⬜ Sin dato",IF(H18&gt;=F18,"✅ Cumplido","⚠️ Atraso"))</f>
        <v/>
      </c>
      <c r="K18" s="101" t="n"/>
    </row>
    <row r="19" ht="15.75" customHeight="1" s="59">
      <c r="A19" s="97" t="n">
        <v>16</v>
      </c>
      <c r="B19" s="98" t="n">
        <v>46134</v>
      </c>
      <c r="C19" s="97" t="inlineStr">
        <is>
          <t>Miércoles</t>
        </is>
      </c>
      <c r="D19" s="78" t="n">
        <v>3</v>
      </c>
      <c r="E19" s="82" t="n">
        <v>0</v>
      </c>
      <c r="F19" s="83" t="n">
        <v>0.141025641025641</v>
      </c>
      <c r="G19" s="76" t="n">
        <v>0</v>
      </c>
      <c r="H19" s="92">
        <f>SUM($G$4:G19)</f>
        <v/>
      </c>
      <c r="I19" s="93">
        <f>H19-F19</f>
        <v/>
      </c>
      <c r="J19" s="78">
        <f>IF(G19=0,"⬜ Sin dato",IF(H19&gt;=F19,"✅ Cumplido","⚠️ Atraso"))</f>
        <v/>
      </c>
      <c r="K19" s="102" t="n"/>
    </row>
    <row r="20" ht="15.75" customHeight="1" s="59">
      <c r="A20" s="95" t="n">
        <v>17</v>
      </c>
      <c r="B20" s="96" t="n">
        <v>46135</v>
      </c>
      <c r="C20" s="95" t="inlineStr">
        <is>
          <t>Jueves</t>
        </is>
      </c>
      <c r="D20" s="77" t="n">
        <v>3</v>
      </c>
      <c r="E20" s="74" t="n">
        <v>0.0384615384615385</v>
      </c>
      <c r="F20" s="75" t="n">
        <v>0.17948717948718</v>
      </c>
      <c r="G20" s="76" t="n">
        <v>0</v>
      </c>
      <c r="H20" s="87">
        <f>SUM($G$4:G20)</f>
        <v/>
      </c>
      <c r="I20" s="88">
        <f>H20-F20</f>
        <v/>
      </c>
      <c r="J20" s="77">
        <f>IF(G20=0,"⬜ Sin dato",IF(H20&gt;=F20,"✅ Cumplido","⚠️ Atraso"))</f>
        <v/>
      </c>
      <c r="K20" s="101" t="n"/>
    </row>
    <row r="21" ht="15.75" customHeight="1" s="59">
      <c r="A21" s="97" t="n">
        <v>18</v>
      </c>
      <c r="B21" s="98" t="n">
        <v>46136</v>
      </c>
      <c r="C21" s="97" t="inlineStr">
        <is>
          <t>Viernes</t>
        </is>
      </c>
      <c r="D21" s="78" t="n">
        <v>3</v>
      </c>
      <c r="E21" s="82" t="n">
        <v>0</v>
      </c>
      <c r="F21" s="83" t="n">
        <v>0.17948717948718</v>
      </c>
      <c r="G21" s="76" t="n">
        <v>0</v>
      </c>
      <c r="H21" s="92">
        <f>SUM($G$4:G21)</f>
        <v/>
      </c>
      <c r="I21" s="93">
        <f>H21-F21</f>
        <v/>
      </c>
      <c r="J21" s="78">
        <f>IF(G21=0,"⬜ Sin dato",IF(H21&gt;=F21,"✅ Cumplido","⚠️ Atraso"))</f>
        <v/>
      </c>
      <c r="K21" s="102" t="n"/>
    </row>
    <row r="22" ht="15.75" customHeight="1" s="59">
      <c r="A22" s="95" t="n">
        <v>19</v>
      </c>
      <c r="B22" s="96" t="n">
        <v>46137</v>
      </c>
      <c r="C22" s="95" t="inlineStr">
        <is>
          <t>Sábado</t>
        </is>
      </c>
      <c r="D22" s="77" t="n">
        <v>3</v>
      </c>
      <c r="E22" s="74" t="n">
        <v>0</v>
      </c>
      <c r="F22" s="75" t="n">
        <v>0.17948717948718</v>
      </c>
      <c r="G22" s="76" t="n">
        <v>0</v>
      </c>
      <c r="H22" s="87">
        <f>SUM($G$4:G22)</f>
        <v/>
      </c>
      <c r="I22" s="88">
        <f>H22-F22</f>
        <v/>
      </c>
      <c r="J22" s="77">
        <f>IF(G22=0,"⬜ Sin dato",IF(H22&gt;=F22,"✅ Cumplido","⚠️ Atraso"))</f>
        <v/>
      </c>
      <c r="K22" s="101" t="n"/>
    </row>
    <row r="23" ht="15.75" customHeight="1" s="59">
      <c r="A23" s="97" t="n">
        <v>20</v>
      </c>
      <c r="B23" s="98" t="n">
        <v>46138</v>
      </c>
      <c r="C23" s="97" t="inlineStr">
        <is>
          <t>Domingo</t>
        </is>
      </c>
      <c r="D23" s="78" t="n">
        <v>3</v>
      </c>
      <c r="E23" s="82" t="n">
        <v>0</v>
      </c>
      <c r="F23" s="83" t="n">
        <v>0.17948717948718</v>
      </c>
      <c r="G23" s="76" t="n">
        <v>0</v>
      </c>
      <c r="H23" s="92">
        <f>SUM($G$4:G23)</f>
        <v/>
      </c>
      <c r="I23" s="93">
        <f>H23-F23</f>
        <v/>
      </c>
      <c r="J23" s="78">
        <f>IF(G23=0,"⬜ Sin dato",IF(H23&gt;=F23,"✅ Cumplido","⚠️ Atraso"))</f>
        <v/>
      </c>
      <c r="K23" s="102" t="n"/>
    </row>
    <row r="24" ht="15.75" customHeight="1" s="59">
      <c r="A24" s="95" t="n">
        <v>21</v>
      </c>
      <c r="B24" s="96" t="n">
        <v>46139</v>
      </c>
      <c r="C24" s="95" t="inlineStr">
        <is>
          <t>Lunes</t>
        </is>
      </c>
      <c r="D24" s="77" t="n">
        <v>4</v>
      </c>
      <c r="E24" s="74" t="n">
        <v>0.0256410256410256</v>
      </c>
      <c r="F24" s="75" t="n">
        <v>0.205128205128205</v>
      </c>
      <c r="G24" s="76" t="n">
        <v>0</v>
      </c>
      <c r="H24" s="87">
        <f>SUM($G$4:G24)</f>
        <v/>
      </c>
      <c r="I24" s="88">
        <f>H24-F24</f>
        <v/>
      </c>
      <c r="J24" s="77">
        <f>IF(G24=0,"⬜ Sin dato",IF(H24&gt;=F24,"✅ Cumplido","⚠️ Atraso"))</f>
        <v/>
      </c>
      <c r="K24" s="101" t="n"/>
    </row>
    <row r="25" ht="15.75" customHeight="1" s="59">
      <c r="A25" s="97" t="n">
        <v>22</v>
      </c>
      <c r="B25" s="98" t="n">
        <v>46140</v>
      </c>
      <c r="C25" s="97" t="inlineStr">
        <is>
          <t>Martes</t>
        </is>
      </c>
      <c r="D25" s="78" t="n">
        <v>4</v>
      </c>
      <c r="E25" s="82" t="n">
        <v>0</v>
      </c>
      <c r="F25" s="83" t="n">
        <v>0.205128205128205</v>
      </c>
      <c r="G25" s="76" t="n">
        <v>0</v>
      </c>
      <c r="H25" s="92">
        <f>SUM($G$4:G25)</f>
        <v/>
      </c>
      <c r="I25" s="93">
        <f>H25-F25</f>
        <v/>
      </c>
      <c r="J25" s="78">
        <f>IF(G25=0,"⬜ Sin dato",IF(H25&gt;=F25,"✅ Cumplido","⚠️ Atraso"))</f>
        <v/>
      </c>
      <c r="K25" s="102" t="n"/>
    </row>
    <row r="26" ht="15.75" customHeight="1" s="59">
      <c r="A26" s="95" t="n">
        <v>23</v>
      </c>
      <c r="B26" s="96" t="n">
        <v>46141</v>
      </c>
      <c r="C26" s="95" t="inlineStr">
        <is>
          <t>Miércoles</t>
        </is>
      </c>
      <c r="D26" s="77" t="n">
        <v>4</v>
      </c>
      <c r="E26" s="74" t="n">
        <v>0.0256410256410257</v>
      </c>
      <c r="F26" s="75" t="n">
        <v>0.230769230769231</v>
      </c>
      <c r="G26" s="76" t="n">
        <v>0</v>
      </c>
      <c r="H26" s="87">
        <f>SUM($G$4:G26)</f>
        <v/>
      </c>
      <c r="I26" s="88">
        <f>H26-F26</f>
        <v/>
      </c>
      <c r="J26" s="77">
        <f>IF(G26=0,"⬜ Sin dato",IF(H26&gt;=F26,"✅ Cumplido","⚠️ Atraso"))</f>
        <v/>
      </c>
      <c r="K26" s="101" t="n"/>
    </row>
    <row r="27" ht="15.75" customHeight="1" s="59">
      <c r="A27" s="97" t="n">
        <v>24</v>
      </c>
      <c r="B27" s="98" t="n">
        <v>46142</v>
      </c>
      <c r="C27" s="97" t="inlineStr">
        <is>
          <t>Jueves</t>
        </is>
      </c>
      <c r="D27" s="78" t="n">
        <v>4</v>
      </c>
      <c r="E27" s="82" t="n">
        <v>0</v>
      </c>
      <c r="F27" s="83" t="n">
        <v>0.230769230769231</v>
      </c>
      <c r="G27" s="76" t="n">
        <v>0</v>
      </c>
      <c r="H27" s="92">
        <f>SUM($G$4:G27)</f>
        <v/>
      </c>
      <c r="I27" s="93">
        <f>H27-F27</f>
        <v/>
      </c>
      <c r="J27" s="78">
        <f>IF(G27=0,"⬜ Sin dato",IF(H27&gt;=F27,"✅ Cumplido","⚠️ Atraso"))</f>
        <v/>
      </c>
      <c r="K27" s="102" t="n"/>
    </row>
    <row r="28" ht="15.75" customHeight="1" s="59">
      <c r="A28" s="95" t="n">
        <v>25</v>
      </c>
      <c r="B28" s="96" t="n">
        <v>46143</v>
      </c>
      <c r="C28" s="95" t="inlineStr">
        <is>
          <t>Viernes</t>
        </is>
      </c>
      <c r="D28" s="77" t="n">
        <v>4</v>
      </c>
      <c r="E28" s="74" t="n">
        <v>0</v>
      </c>
      <c r="F28" s="75" t="n">
        <v>0.230769230769231</v>
      </c>
      <c r="G28" s="76" t="n">
        <v>0</v>
      </c>
      <c r="H28" s="87">
        <f>SUM($G$4:G28)</f>
        <v/>
      </c>
      <c r="I28" s="88">
        <f>H28-F28</f>
        <v/>
      </c>
      <c r="J28" s="77">
        <f>IF(G28=0,"⬜ Sin dato",IF(H28&gt;=F28,"✅ Cumplido","⚠️ Atraso"))</f>
        <v/>
      </c>
      <c r="K28" s="101" t="n"/>
    </row>
    <row r="29" ht="15.75" customHeight="1" s="59">
      <c r="A29" s="97" t="n">
        <v>26</v>
      </c>
      <c r="B29" s="98" t="n">
        <v>46144</v>
      </c>
      <c r="C29" s="97" t="inlineStr">
        <is>
          <t>Sábado</t>
        </is>
      </c>
      <c r="D29" s="78" t="n">
        <v>4</v>
      </c>
      <c r="E29" s="82" t="n">
        <v>0</v>
      </c>
      <c r="F29" s="83" t="n">
        <v>0.230769230769231</v>
      </c>
      <c r="G29" s="76" t="n">
        <v>0</v>
      </c>
      <c r="H29" s="92">
        <f>SUM($G$4:G29)</f>
        <v/>
      </c>
      <c r="I29" s="93">
        <f>H29-F29</f>
        <v/>
      </c>
      <c r="J29" s="78">
        <f>IF(G29=0,"⬜ Sin dato",IF(H29&gt;=F29,"✅ Cumplido","⚠️ Atraso"))</f>
        <v/>
      </c>
      <c r="K29" s="102" t="n"/>
    </row>
    <row r="30" ht="15.75" customHeight="1" s="59">
      <c r="A30" s="95" t="n">
        <v>27</v>
      </c>
      <c r="B30" s="96" t="n">
        <v>46145</v>
      </c>
      <c r="C30" s="95" t="inlineStr">
        <is>
          <t>Domingo</t>
        </is>
      </c>
      <c r="D30" s="77" t="n">
        <v>4</v>
      </c>
      <c r="E30" s="74" t="n">
        <v>0</v>
      </c>
      <c r="F30" s="75" t="n">
        <v>0.230769230769231</v>
      </c>
      <c r="G30" s="76" t="n">
        <v>0</v>
      </c>
      <c r="H30" s="87">
        <f>SUM($G$4:G30)</f>
        <v/>
      </c>
      <c r="I30" s="88">
        <f>H30-F30</f>
        <v/>
      </c>
      <c r="J30" s="77">
        <f>IF(G30=0,"⬜ Sin dato",IF(H30&gt;=F30,"✅ Cumplido","⚠️ Atraso"))</f>
        <v/>
      </c>
      <c r="K30" s="101" t="n"/>
    </row>
    <row r="31" ht="15.75" customHeight="1" s="59">
      <c r="A31" s="97" t="n">
        <v>28</v>
      </c>
      <c r="B31" s="98" t="n">
        <v>46146</v>
      </c>
      <c r="C31" s="97" t="inlineStr">
        <is>
          <t>Lunes</t>
        </is>
      </c>
      <c r="D31" s="78" t="n">
        <v>5</v>
      </c>
      <c r="E31" s="82" t="n">
        <v>0.0384615384615384</v>
      </c>
      <c r="F31" s="83" t="n">
        <v>0.269230769230769</v>
      </c>
      <c r="G31" s="76" t="n">
        <v>0</v>
      </c>
      <c r="H31" s="92">
        <f>SUM($G$4:G31)</f>
        <v/>
      </c>
      <c r="I31" s="93">
        <f>H31-F31</f>
        <v/>
      </c>
      <c r="J31" s="78">
        <f>IF(G31=0,"⬜ Sin dato",IF(H31&gt;=F31,"✅ Cumplido","⚠️ Atraso"))</f>
        <v/>
      </c>
      <c r="K31" s="102" t="n"/>
    </row>
    <row r="32" ht="15.75" customHeight="1" s="59">
      <c r="A32" s="95" t="n">
        <v>29</v>
      </c>
      <c r="B32" s="96" t="n">
        <v>46147</v>
      </c>
      <c r="C32" s="95" t="inlineStr">
        <is>
          <t>Martes</t>
        </is>
      </c>
      <c r="D32" s="77" t="n">
        <v>5</v>
      </c>
      <c r="E32" s="74" t="n">
        <v>0.0256410256410257</v>
      </c>
      <c r="F32" s="75" t="n">
        <v>0.294871794871795</v>
      </c>
      <c r="G32" s="76" t="n">
        <v>0</v>
      </c>
      <c r="H32" s="87">
        <f>SUM($G$4:G32)</f>
        <v/>
      </c>
      <c r="I32" s="88">
        <f>H32-F32</f>
        <v/>
      </c>
      <c r="J32" s="77">
        <f>IF(G32=0,"⬜ Sin dato",IF(H32&gt;=F32,"✅ Cumplido","⚠️ Atraso"))</f>
        <v/>
      </c>
      <c r="K32" s="101" t="n"/>
    </row>
    <row r="33" ht="15.75" customHeight="1" s="59">
      <c r="A33" s="97" t="n">
        <v>30</v>
      </c>
      <c r="B33" s="98" t="n">
        <v>46148</v>
      </c>
      <c r="C33" s="97" t="inlineStr">
        <is>
          <t>Miércoles</t>
        </is>
      </c>
      <c r="D33" s="78" t="n">
        <v>5</v>
      </c>
      <c r="E33" s="82" t="n">
        <v>0.0641025641025641</v>
      </c>
      <c r="F33" s="83" t="n">
        <v>0.358974358974359</v>
      </c>
      <c r="G33" s="76" t="n">
        <v>0</v>
      </c>
      <c r="H33" s="92">
        <f>SUM($G$4:G33)</f>
        <v/>
      </c>
      <c r="I33" s="93">
        <f>H33-F33</f>
        <v/>
      </c>
      <c r="J33" s="78">
        <f>IF(G33=0,"⬜ Sin dato",IF(H33&gt;=F33,"✅ Cumplido","⚠️ Atraso"))</f>
        <v/>
      </c>
      <c r="K33" s="102" t="n"/>
    </row>
    <row r="34" ht="15.75" customHeight="1" s="59">
      <c r="A34" s="95" t="n">
        <v>31</v>
      </c>
      <c r="B34" s="96" t="n">
        <v>46149</v>
      </c>
      <c r="C34" s="95" t="inlineStr">
        <is>
          <t>Jueves</t>
        </is>
      </c>
      <c r="D34" s="77" t="n">
        <v>5</v>
      </c>
      <c r="E34" s="74" t="n">
        <v>0.0641025641025641</v>
      </c>
      <c r="F34" s="75" t="n">
        <v>0.423076923076923</v>
      </c>
      <c r="G34" s="76" t="n">
        <v>0</v>
      </c>
      <c r="H34" s="87">
        <f>SUM($G$4:G34)</f>
        <v/>
      </c>
      <c r="I34" s="88">
        <f>H34-F34</f>
        <v/>
      </c>
      <c r="J34" s="77">
        <f>IF(G34=0,"⬜ Sin dato",IF(H34&gt;=F34,"✅ Cumplido","⚠️ Atraso"))</f>
        <v/>
      </c>
      <c r="K34" s="101" t="n"/>
    </row>
    <row r="35" ht="15.75" customHeight="1" s="59">
      <c r="A35" s="97" t="n">
        <v>32</v>
      </c>
      <c r="B35" s="98" t="n">
        <v>46150</v>
      </c>
      <c r="C35" s="97" t="inlineStr">
        <is>
          <t>Viernes</t>
        </is>
      </c>
      <c r="D35" s="78" t="n">
        <v>5</v>
      </c>
      <c r="E35" s="82" t="n">
        <v>0.0384615384615385</v>
      </c>
      <c r="F35" s="83" t="n">
        <v>0.461538461538462</v>
      </c>
      <c r="G35" s="76" t="n">
        <v>0</v>
      </c>
      <c r="H35" s="92">
        <f>SUM($G$4:G35)</f>
        <v/>
      </c>
      <c r="I35" s="93">
        <f>H35-F35</f>
        <v/>
      </c>
      <c r="J35" s="78">
        <f>IF(G35=0,"⬜ Sin dato",IF(H35&gt;=F35,"✅ Cumplido","⚠️ Atraso"))</f>
        <v/>
      </c>
      <c r="K35" s="102" t="n"/>
    </row>
    <row r="36" ht="15.75" customHeight="1" s="59">
      <c r="A36" s="95" t="n">
        <v>33</v>
      </c>
      <c r="B36" s="96" t="n">
        <v>46151</v>
      </c>
      <c r="C36" s="95" t="inlineStr">
        <is>
          <t>Sábado</t>
        </is>
      </c>
      <c r="D36" s="77" t="n">
        <v>5</v>
      </c>
      <c r="E36" s="74" t="n">
        <v>0.0128205128205128</v>
      </c>
      <c r="F36" s="75" t="n">
        <v>0.474358974358974</v>
      </c>
      <c r="G36" s="76" t="n">
        <v>0</v>
      </c>
      <c r="H36" s="87">
        <f>SUM($G$4:G36)</f>
        <v/>
      </c>
      <c r="I36" s="88">
        <f>H36-F36</f>
        <v/>
      </c>
      <c r="J36" s="77">
        <f>IF(G36=0,"⬜ Sin dato",IF(H36&gt;=F36,"✅ Cumplido","⚠️ Atraso"))</f>
        <v/>
      </c>
      <c r="K36" s="101" t="n"/>
    </row>
    <row r="37" ht="15.75" customHeight="1" s="59">
      <c r="A37" s="97" t="n">
        <v>34</v>
      </c>
      <c r="B37" s="98" t="n">
        <v>46152</v>
      </c>
      <c r="C37" s="97" t="inlineStr">
        <is>
          <t>Domingo</t>
        </is>
      </c>
      <c r="D37" s="78" t="n">
        <v>5</v>
      </c>
      <c r="E37" s="82" t="n">
        <v>0.102564102564103</v>
      </c>
      <c r="F37" s="83" t="n">
        <v>0.576923076923077</v>
      </c>
      <c r="G37" s="76" t="n">
        <v>0</v>
      </c>
      <c r="H37" s="92">
        <f>SUM($G$4:G37)</f>
        <v/>
      </c>
      <c r="I37" s="93">
        <f>H37-F37</f>
        <v/>
      </c>
      <c r="J37" s="78">
        <f>IF(G37=0,"⬜ Sin dato",IF(H37&gt;=F37,"✅ Cumplido","⚠️ Atraso"))</f>
        <v/>
      </c>
      <c r="K37" s="102" t="n"/>
    </row>
    <row r="38" ht="15.75" customHeight="1" s="59">
      <c r="A38" s="95" t="n">
        <v>35</v>
      </c>
      <c r="B38" s="96" t="n">
        <v>46153</v>
      </c>
      <c r="C38" s="95" t="inlineStr">
        <is>
          <t>Lunes</t>
        </is>
      </c>
      <c r="D38" s="77" t="n">
        <v>6</v>
      </c>
      <c r="E38" s="74" t="n">
        <v>0</v>
      </c>
      <c r="F38" s="75" t="n">
        <v>0.576923076923077</v>
      </c>
      <c r="G38" s="76" t="n">
        <v>0</v>
      </c>
      <c r="H38" s="87">
        <f>SUM($G$4:G38)</f>
        <v/>
      </c>
      <c r="I38" s="88">
        <f>H38-F38</f>
        <v/>
      </c>
      <c r="J38" s="77">
        <f>IF(G38=0,"⬜ Sin dato",IF(H38&gt;=F38,"✅ Cumplido","⚠️ Atraso"))</f>
        <v/>
      </c>
      <c r="K38" s="101" t="n"/>
    </row>
    <row r="39" ht="15.75" customHeight="1" s="59">
      <c r="A39" s="97" t="n">
        <v>36</v>
      </c>
      <c r="B39" s="98" t="n">
        <v>46154</v>
      </c>
      <c r="C39" s="97" t="inlineStr">
        <is>
          <t>Martes</t>
        </is>
      </c>
      <c r="D39" s="78" t="n">
        <v>6</v>
      </c>
      <c r="E39" s="82" t="n">
        <v>0.0897435897435898</v>
      </c>
      <c r="F39" s="83" t="n">
        <v>0.666666666666667</v>
      </c>
      <c r="G39" s="76" t="n">
        <v>0</v>
      </c>
      <c r="H39" s="92">
        <f>SUM($G$4:G39)</f>
        <v/>
      </c>
      <c r="I39" s="93">
        <f>H39-F39</f>
        <v/>
      </c>
      <c r="J39" s="78">
        <f>IF(G39=0,"⬜ Sin dato",IF(H39&gt;=F39,"✅ Cumplido","⚠️ Atraso"))</f>
        <v/>
      </c>
      <c r="K39" s="102" t="n"/>
    </row>
    <row r="40" ht="15.75" customHeight="1" s="59">
      <c r="A40" s="95" t="n">
        <v>37</v>
      </c>
      <c r="B40" s="96" t="n">
        <v>46155</v>
      </c>
      <c r="C40" s="95" t="inlineStr">
        <is>
          <t>Miércoles</t>
        </is>
      </c>
      <c r="D40" s="77" t="n">
        <v>6</v>
      </c>
      <c r="E40" s="74" t="n">
        <v>0.0641025641025641</v>
      </c>
      <c r="F40" s="75" t="n">
        <v>0.7307692307692309</v>
      </c>
      <c r="G40" s="76" t="n">
        <v>0</v>
      </c>
      <c r="H40" s="87">
        <f>SUM($G$4:G40)</f>
        <v/>
      </c>
      <c r="I40" s="88">
        <f>H40-F40</f>
        <v/>
      </c>
      <c r="J40" s="77">
        <f>IF(G40=0,"⬜ Sin dato",IF(H40&gt;=F40,"✅ Cumplido","⚠️ Atraso"))</f>
        <v/>
      </c>
      <c r="K40" s="101" t="n"/>
    </row>
    <row r="41" ht="15.75" customHeight="1" s="59">
      <c r="A41" s="97" t="n">
        <v>38</v>
      </c>
      <c r="B41" s="98" t="n">
        <v>46156</v>
      </c>
      <c r="C41" s="97" t="inlineStr">
        <is>
          <t>Jueves</t>
        </is>
      </c>
      <c r="D41" s="78" t="n">
        <v>6</v>
      </c>
      <c r="E41" s="82" t="n">
        <v>0.0384615384615386</v>
      </c>
      <c r="F41" s="83" t="n">
        <v>0.7692307692307691</v>
      </c>
      <c r="G41" s="76" t="n">
        <v>0</v>
      </c>
      <c r="H41" s="92">
        <f>SUM($G$4:G41)</f>
        <v/>
      </c>
      <c r="I41" s="93">
        <f>H41-F41</f>
        <v/>
      </c>
      <c r="J41" s="78">
        <f>IF(G41=0,"⬜ Sin dato",IF(H41&gt;=F41,"✅ Cumplido","⚠️ Atraso"))</f>
        <v/>
      </c>
      <c r="K41" s="102" t="n"/>
    </row>
    <row r="42" ht="15.75" customHeight="1" s="59">
      <c r="A42" s="95" t="n">
        <v>39</v>
      </c>
      <c r="B42" s="96" t="n">
        <v>46157</v>
      </c>
      <c r="C42" s="95" t="inlineStr">
        <is>
          <t>Viernes</t>
        </is>
      </c>
      <c r="D42" s="77" t="n">
        <v>6</v>
      </c>
      <c r="E42" s="74" t="n">
        <v>0.0256410256410256</v>
      </c>
      <c r="F42" s="75" t="n">
        <v>0.794871794871795</v>
      </c>
      <c r="G42" s="76" t="n">
        <v>0</v>
      </c>
      <c r="H42" s="87">
        <f>SUM($G$4:G42)</f>
        <v/>
      </c>
      <c r="I42" s="88">
        <f>H42-F42</f>
        <v/>
      </c>
      <c r="J42" s="77">
        <f>IF(G42=0,"⬜ Sin dato",IF(H42&gt;=F42,"✅ Cumplido","⚠️ Atraso"))</f>
        <v/>
      </c>
      <c r="K42" s="101" t="n"/>
    </row>
    <row r="43" ht="15.75" customHeight="1" s="59">
      <c r="A43" s="97" t="n">
        <v>40</v>
      </c>
      <c r="B43" s="98" t="n">
        <v>46158</v>
      </c>
      <c r="C43" s="97" t="inlineStr">
        <is>
          <t>Sábado</t>
        </is>
      </c>
      <c r="D43" s="78" t="n">
        <v>6</v>
      </c>
      <c r="E43" s="82" t="n">
        <v>0</v>
      </c>
      <c r="F43" s="83" t="n">
        <v>0.794871794871795</v>
      </c>
      <c r="G43" s="76" t="n">
        <v>0</v>
      </c>
      <c r="H43" s="92">
        <f>SUM($G$4:G43)</f>
        <v/>
      </c>
      <c r="I43" s="93">
        <f>H43-F43</f>
        <v/>
      </c>
      <c r="J43" s="78">
        <f>IF(G43=0,"⬜ Sin dato",IF(H43&gt;=F43,"✅ Cumplido","⚠️ Atraso"))</f>
        <v/>
      </c>
      <c r="K43" s="102" t="n"/>
    </row>
    <row r="44" ht="15.75" customHeight="1" s="59">
      <c r="A44" s="95" t="n">
        <v>41</v>
      </c>
      <c r="B44" s="96" t="n">
        <v>46159</v>
      </c>
      <c r="C44" s="95" t="inlineStr">
        <is>
          <t>Domingo</t>
        </is>
      </c>
      <c r="D44" s="77" t="n">
        <v>6</v>
      </c>
      <c r="E44" s="74" t="n">
        <v>0</v>
      </c>
      <c r="F44" s="75" t="n">
        <v>0.794871794871795</v>
      </c>
      <c r="G44" s="76" t="n">
        <v>0</v>
      </c>
      <c r="H44" s="87">
        <f>SUM($G$4:G44)</f>
        <v/>
      </c>
      <c r="I44" s="88">
        <f>H44-F44</f>
        <v/>
      </c>
      <c r="J44" s="77">
        <f>IF(G44=0,"⬜ Sin dato",IF(H44&gt;=F44,"✅ Cumplido","⚠️ Atraso"))</f>
        <v/>
      </c>
      <c r="K44" s="101" t="n"/>
    </row>
    <row r="45" ht="15.75" customHeight="1" s="59">
      <c r="A45" s="97" t="n">
        <v>42</v>
      </c>
      <c r="B45" s="98" t="n">
        <v>46160</v>
      </c>
      <c r="C45" s="97" t="inlineStr">
        <is>
          <t>Lunes</t>
        </is>
      </c>
      <c r="D45" s="78" t="n">
        <v>7</v>
      </c>
      <c r="E45" s="82" t="n">
        <v>0</v>
      </c>
      <c r="F45" s="83" t="n">
        <v>0.794871794871795</v>
      </c>
      <c r="G45" s="76" t="n">
        <v>0</v>
      </c>
      <c r="H45" s="92">
        <f>SUM($G$4:G45)</f>
        <v/>
      </c>
      <c r="I45" s="93">
        <f>H45-F45</f>
        <v/>
      </c>
      <c r="J45" s="78">
        <f>IF(G45=0,"⬜ Sin dato",IF(H45&gt;=F45,"✅ Cumplido","⚠️ Atraso"))</f>
        <v/>
      </c>
      <c r="K45" s="102" t="n"/>
    </row>
    <row r="46" ht="15.75" customHeight="1" s="59">
      <c r="A46" s="95" t="n">
        <v>43</v>
      </c>
      <c r="B46" s="96" t="n">
        <v>46161</v>
      </c>
      <c r="C46" s="95" t="inlineStr">
        <is>
          <t>Martes</t>
        </is>
      </c>
      <c r="D46" s="77" t="n">
        <v>7</v>
      </c>
      <c r="E46" s="74" t="n">
        <v>0.0256410256410257</v>
      </c>
      <c r="F46" s="75" t="n">
        <v>0.820512820512821</v>
      </c>
      <c r="G46" s="76" t="n">
        <v>0</v>
      </c>
      <c r="H46" s="87">
        <f>SUM($G$4:G46)</f>
        <v/>
      </c>
      <c r="I46" s="88">
        <f>H46-F46</f>
        <v/>
      </c>
      <c r="J46" s="77">
        <f>IF(G46=0,"⬜ Sin dato",IF(H46&gt;=F46,"✅ Cumplido","⚠️ Atraso"))</f>
        <v/>
      </c>
      <c r="K46" s="101" t="n"/>
    </row>
    <row r="47" ht="15.75" customHeight="1" s="59">
      <c r="A47" s="97" t="n">
        <v>44</v>
      </c>
      <c r="B47" s="98" t="n">
        <v>46162</v>
      </c>
      <c r="C47" s="97" t="inlineStr">
        <is>
          <t>Miércoles</t>
        </is>
      </c>
      <c r="D47" s="78" t="n">
        <v>7</v>
      </c>
      <c r="E47" s="82" t="n">
        <v>0.0256410256410257</v>
      </c>
      <c r="F47" s="83" t="n">
        <v>0.846153846153846</v>
      </c>
      <c r="G47" s="76" t="n">
        <v>0</v>
      </c>
      <c r="H47" s="92">
        <f>SUM($G$4:G47)</f>
        <v/>
      </c>
      <c r="I47" s="93">
        <f>H47-F47</f>
        <v/>
      </c>
      <c r="J47" s="78">
        <f>IF(G47=0,"⬜ Sin dato",IF(H47&gt;=F47,"✅ Cumplido","⚠️ Atraso"))</f>
        <v/>
      </c>
      <c r="K47" s="102" t="n"/>
    </row>
    <row r="48" ht="15.75" customHeight="1" s="59">
      <c r="A48" s="95" t="n">
        <v>45</v>
      </c>
      <c r="B48" s="96" t="n">
        <v>46163</v>
      </c>
      <c r="C48" s="95" t="inlineStr">
        <is>
          <t>Jueves</t>
        </is>
      </c>
      <c r="D48" s="77" t="n">
        <v>7</v>
      </c>
      <c r="E48" s="74" t="n">
        <v>0.0128205128205128</v>
      </c>
      <c r="F48" s="75" t="n">
        <v>0.858974358974359</v>
      </c>
      <c r="G48" s="76" t="n">
        <v>0</v>
      </c>
      <c r="H48" s="87">
        <f>SUM($G$4:G48)</f>
        <v/>
      </c>
      <c r="I48" s="88">
        <f>H48-F48</f>
        <v/>
      </c>
      <c r="J48" s="77">
        <f>IF(G48=0,"⬜ Sin dato",IF(H48&gt;=F48,"✅ Cumplido","⚠️ Atraso"))</f>
        <v/>
      </c>
      <c r="K48" s="101" t="n"/>
    </row>
    <row r="49" ht="15.75" customHeight="1" s="59">
      <c r="A49" s="97" t="n">
        <v>46</v>
      </c>
      <c r="B49" s="98" t="n">
        <v>46164</v>
      </c>
      <c r="C49" s="97" t="inlineStr">
        <is>
          <t>Viernes</t>
        </is>
      </c>
      <c r="D49" s="78" t="n">
        <v>7</v>
      </c>
      <c r="E49" s="82" t="n">
        <v>0.0128205128205129</v>
      </c>
      <c r="F49" s="83" t="n">
        <v>0.871794871794872</v>
      </c>
      <c r="G49" s="76" t="n">
        <v>0</v>
      </c>
      <c r="H49" s="92">
        <f>SUM($G$4:G49)</f>
        <v/>
      </c>
      <c r="I49" s="93">
        <f>H49-F49</f>
        <v/>
      </c>
      <c r="J49" s="78">
        <f>IF(G49=0,"⬜ Sin dato",IF(H49&gt;=F49,"✅ Cumplido","⚠️ Atraso"))</f>
        <v/>
      </c>
      <c r="K49" s="102" t="n"/>
    </row>
    <row r="50" ht="15.75" customHeight="1" s="59">
      <c r="A50" s="95" t="n">
        <v>47</v>
      </c>
      <c r="B50" s="96" t="n">
        <v>46165</v>
      </c>
      <c r="C50" s="95" t="inlineStr">
        <is>
          <t>Sábado</t>
        </is>
      </c>
      <c r="D50" s="77" t="n">
        <v>7</v>
      </c>
      <c r="E50" s="74" t="n">
        <v>0</v>
      </c>
      <c r="F50" s="75" t="n">
        <v>0.871794871794872</v>
      </c>
      <c r="G50" s="76" t="n">
        <v>0</v>
      </c>
      <c r="H50" s="87">
        <f>SUM($G$4:G50)</f>
        <v/>
      </c>
      <c r="I50" s="88">
        <f>H50-F50</f>
        <v/>
      </c>
      <c r="J50" s="77">
        <f>IF(G50=0,"⬜ Sin dato",IF(H50&gt;=F50,"✅ Cumplido","⚠️ Atraso"))</f>
        <v/>
      </c>
      <c r="K50" s="101" t="n"/>
    </row>
    <row r="51" ht="15.75" customHeight="1" s="59">
      <c r="A51" s="97" t="n">
        <v>48</v>
      </c>
      <c r="B51" s="98" t="n">
        <v>46166</v>
      </c>
      <c r="C51" s="97" t="inlineStr">
        <is>
          <t>Domingo</t>
        </is>
      </c>
      <c r="D51" s="78" t="n">
        <v>7</v>
      </c>
      <c r="E51" s="82" t="n">
        <v>0</v>
      </c>
      <c r="F51" s="83" t="n">
        <v>0.871794871794872</v>
      </c>
      <c r="G51" s="76" t="n">
        <v>0</v>
      </c>
      <c r="H51" s="92">
        <f>SUM($G$4:G51)</f>
        <v/>
      </c>
      <c r="I51" s="93">
        <f>H51-F51</f>
        <v/>
      </c>
      <c r="J51" s="78">
        <f>IF(G51=0,"⬜ Sin dato",IF(H51&gt;=F51,"✅ Cumplido","⚠️ Atraso"))</f>
        <v/>
      </c>
      <c r="K51" s="102" t="n"/>
    </row>
    <row r="52" ht="15.75" customHeight="1" s="59">
      <c r="A52" s="95" t="n">
        <v>49</v>
      </c>
      <c r="B52" s="96" t="n">
        <v>46167</v>
      </c>
      <c r="C52" s="95" t="inlineStr">
        <is>
          <t>Lunes</t>
        </is>
      </c>
      <c r="D52" s="77" t="n">
        <v>8</v>
      </c>
      <c r="E52" s="74" t="n">
        <v>0.102564102564103</v>
      </c>
      <c r="F52" s="75" t="n">
        <v>0.974358974358974</v>
      </c>
      <c r="G52" s="76" t="n">
        <v>0</v>
      </c>
      <c r="H52" s="87">
        <f>SUM($G$4:G52)</f>
        <v/>
      </c>
      <c r="I52" s="88">
        <f>H52-F52</f>
        <v/>
      </c>
      <c r="J52" s="77">
        <f>IF(G52=0,"⬜ Sin dato",IF(H52&gt;=F52,"✅ Cumplido","⚠️ Atraso"))</f>
        <v/>
      </c>
      <c r="K52" s="101" t="n"/>
    </row>
    <row r="53" ht="15.75" customHeight="1" s="59">
      <c r="A53" s="97" t="n">
        <v>50</v>
      </c>
      <c r="B53" s="98" t="n">
        <v>46168</v>
      </c>
      <c r="C53" s="97" t="inlineStr">
        <is>
          <t>Martes</t>
        </is>
      </c>
      <c r="D53" s="78" t="n">
        <v>8</v>
      </c>
      <c r="E53" s="82" t="n">
        <v>0.0128205128205129</v>
      </c>
      <c r="F53" s="83" t="n">
        <v>0.987179487179487</v>
      </c>
      <c r="G53" s="76" t="n">
        <v>0</v>
      </c>
      <c r="H53" s="92">
        <f>SUM($G$4:G53)</f>
        <v/>
      </c>
      <c r="I53" s="93">
        <f>H53-F53</f>
        <v/>
      </c>
      <c r="J53" s="78">
        <f>IF(G53=0,"⬜ Sin dato",IF(H53&gt;=F53,"✅ Cumplido","⚠️ Atraso"))</f>
        <v/>
      </c>
      <c r="K53" s="102" t="n"/>
    </row>
    <row r="54" ht="15.75" customHeight="1" s="59">
      <c r="A54" s="95" t="n">
        <v>51</v>
      </c>
      <c r="B54" s="96" t="n">
        <v>46169</v>
      </c>
      <c r="C54" s="95" t="inlineStr">
        <is>
          <t>Miércoles</t>
        </is>
      </c>
      <c r="D54" s="77" t="n">
        <v>8</v>
      </c>
      <c r="E54" s="74" t="n">
        <v>0.0128205128205128</v>
      </c>
      <c r="F54" s="75" t="n">
        <v>1</v>
      </c>
      <c r="G54" s="76" t="n">
        <v>0</v>
      </c>
      <c r="H54" s="87">
        <f>SUM($G$4:G54)</f>
        <v/>
      </c>
      <c r="I54" s="88">
        <f>H54-F54</f>
        <v/>
      </c>
      <c r="J54" s="77">
        <f>IF(G54=0,"⬜ Sin dato",IF(H54&gt;=F54,"✅ Cumplido","⚠️ Atraso"))</f>
        <v/>
      </c>
      <c r="K54" s="101" t="n"/>
    </row>
    <row r="55" ht="19.5" customHeight="1" s="59">
      <c r="A55" s="103" t="inlineStr">
        <is>
          <t>TOTAL</t>
        </is>
      </c>
      <c r="H55" s="104">
        <f>SUM(G4:G54)</f>
        <v/>
      </c>
    </row>
  </sheetData>
  <mergeCells count="3">
    <mergeCell ref="A2:K2"/>
    <mergeCell ref="A1:K1"/>
    <mergeCell ref="A55:F5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8" min="1" max="1"/>
    <col width="14" customWidth="1" style="58" min="2" max="5"/>
    <col width="16" customWidth="1" style="58" min="6" max="6"/>
  </cols>
  <sheetData>
    <row r="1" ht="27.75" customHeight="1" s="59">
      <c r="A1" s="60" t="inlineStr">
        <is>
          <t>📈 CURVA S DIARIA — AVANCE ACUMULADO | SINCRONISMO GENERACIÓN SANTA ROSA</t>
        </is>
      </c>
    </row>
    <row r="2" ht="15.75" customHeight="1" s="59">
      <c r="A2" s="61" t="inlineStr">
        <is>
          <t>Plan vs Real acumulado por día. Alimentado desde 'Datos_Diarios'.</t>
        </is>
      </c>
    </row>
    <row r="3" ht="27.75" customHeight="1" s="59">
      <c r="A3" s="62" t="inlineStr">
        <is>
          <t>#</t>
        </is>
      </c>
      <c r="B3" s="62" t="inlineStr">
        <is>
          <t>Fecha</t>
        </is>
      </c>
      <c r="C3" s="62" t="inlineStr">
        <is>
          <t>% Plan Acum.</t>
        </is>
      </c>
      <c r="D3" s="62" t="inlineStr">
        <is>
          <t>% Real Acum.</t>
        </is>
      </c>
      <c r="E3" s="62" t="inlineStr">
        <is>
          <t>Variación</t>
        </is>
      </c>
      <c r="F3" s="62" t="inlineStr">
        <is>
          <t>Estado</t>
        </is>
      </c>
    </row>
    <row r="4" ht="15" customHeight="1" s="59">
      <c r="A4" s="95" t="n">
        <v>1</v>
      </c>
      <c r="B4" s="96">
        <f>Datos_Diarios!B4</f>
        <v/>
      </c>
      <c r="C4" s="75">
        <f>Datos_Diarios!F4</f>
        <v/>
      </c>
      <c r="D4" s="87">
        <f>Datos_Diarios!H4</f>
        <v/>
      </c>
      <c r="E4" s="88">
        <f>Datos_Diarios!I4</f>
        <v/>
      </c>
      <c r="F4" s="77">
        <f>Datos_Diarios!J4</f>
        <v/>
      </c>
    </row>
    <row r="5" ht="15" customHeight="1" s="59">
      <c r="A5" s="97" t="n">
        <v>2</v>
      </c>
      <c r="B5" s="98">
        <f>Datos_Diarios!B5</f>
        <v/>
      </c>
      <c r="C5" s="83">
        <f>Datos_Diarios!F5</f>
        <v/>
      </c>
      <c r="D5" s="92">
        <f>Datos_Diarios!H5</f>
        <v/>
      </c>
      <c r="E5" s="93">
        <f>Datos_Diarios!I5</f>
        <v/>
      </c>
      <c r="F5" s="78">
        <f>Datos_Diarios!J5</f>
        <v/>
      </c>
    </row>
    <row r="6" ht="15" customHeight="1" s="59">
      <c r="A6" s="95" t="n">
        <v>3</v>
      </c>
      <c r="B6" s="96">
        <f>Datos_Diarios!B6</f>
        <v/>
      </c>
      <c r="C6" s="75">
        <f>Datos_Diarios!F6</f>
        <v/>
      </c>
      <c r="D6" s="87">
        <f>Datos_Diarios!H6</f>
        <v/>
      </c>
      <c r="E6" s="88">
        <f>Datos_Diarios!I6</f>
        <v/>
      </c>
      <c r="F6" s="77">
        <f>Datos_Diarios!J6</f>
        <v/>
      </c>
    </row>
    <row r="7" ht="15" customHeight="1" s="59">
      <c r="A7" s="97" t="n">
        <v>4</v>
      </c>
      <c r="B7" s="98">
        <f>Datos_Diarios!B7</f>
        <v/>
      </c>
      <c r="C7" s="83">
        <f>Datos_Diarios!F7</f>
        <v/>
      </c>
      <c r="D7" s="92">
        <f>Datos_Diarios!H7</f>
        <v/>
      </c>
      <c r="E7" s="93">
        <f>Datos_Diarios!I7</f>
        <v/>
      </c>
      <c r="F7" s="78">
        <f>Datos_Diarios!J7</f>
        <v/>
      </c>
    </row>
    <row r="8" ht="15" customHeight="1" s="59">
      <c r="A8" s="95" t="n">
        <v>5</v>
      </c>
      <c r="B8" s="96">
        <f>Datos_Diarios!B8</f>
        <v/>
      </c>
      <c r="C8" s="75">
        <f>Datos_Diarios!F8</f>
        <v/>
      </c>
      <c r="D8" s="87">
        <f>Datos_Diarios!H8</f>
        <v/>
      </c>
      <c r="E8" s="88">
        <f>Datos_Diarios!I8</f>
        <v/>
      </c>
      <c r="F8" s="77">
        <f>Datos_Diarios!J8</f>
        <v/>
      </c>
    </row>
    <row r="9" ht="15" customHeight="1" s="59">
      <c r="A9" s="97" t="n">
        <v>6</v>
      </c>
      <c r="B9" s="98">
        <f>Datos_Diarios!B9</f>
        <v/>
      </c>
      <c r="C9" s="83">
        <f>Datos_Diarios!F9</f>
        <v/>
      </c>
      <c r="D9" s="92">
        <f>Datos_Diarios!H9</f>
        <v/>
      </c>
      <c r="E9" s="93">
        <f>Datos_Diarios!I9</f>
        <v/>
      </c>
      <c r="F9" s="78">
        <f>Datos_Diarios!J9</f>
        <v/>
      </c>
    </row>
    <row r="10" ht="15" customHeight="1" s="59">
      <c r="A10" s="95" t="n">
        <v>7</v>
      </c>
      <c r="B10" s="96">
        <f>Datos_Diarios!B10</f>
        <v/>
      </c>
      <c r="C10" s="75">
        <f>Datos_Diarios!F10</f>
        <v/>
      </c>
      <c r="D10" s="87">
        <f>Datos_Diarios!H10</f>
        <v/>
      </c>
      <c r="E10" s="88">
        <f>Datos_Diarios!I10</f>
        <v/>
      </c>
      <c r="F10" s="77">
        <f>Datos_Diarios!J10</f>
        <v/>
      </c>
    </row>
    <row r="11" ht="15" customHeight="1" s="59">
      <c r="A11" s="97" t="n">
        <v>8</v>
      </c>
      <c r="B11" s="98">
        <f>Datos_Diarios!B11</f>
        <v/>
      </c>
      <c r="C11" s="83">
        <f>Datos_Diarios!F11</f>
        <v/>
      </c>
      <c r="D11" s="92">
        <f>Datos_Diarios!H11</f>
        <v/>
      </c>
      <c r="E11" s="93">
        <f>Datos_Diarios!I11</f>
        <v/>
      </c>
      <c r="F11" s="78">
        <f>Datos_Diarios!J11</f>
        <v/>
      </c>
    </row>
    <row r="12" ht="15" customHeight="1" s="59">
      <c r="A12" s="95" t="n">
        <v>9</v>
      </c>
      <c r="B12" s="96">
        <f>Datos_Diarios!B12</f>
        <v/>
      </c>
      <c r="C12" s="75">
        <f>Datos_Diarios!F12</f>
        <v/>
      </c>
      <c r="D12" s="87">
        <f>Datos_Diarios!H12</f>
        <v/>
      </c>
      <c r="E12" s="88">
        <f>Datos_Diarios!I12</f>
        <v/>
      </c>
      <c r="F12" s="77">
        <f>Datos_Diarios!J12</f>
        <v/>
      </c>
    </row>
    <row r="13" ht="15" customHeight="1" s="59">
      <c r="A13" s="97" t="n">
        <v>10</v>
      </c>
      <c r="B13" s="98">
        <f>Datos_Diarios!B13</f>
        <v/>
      </c>
      <c r="C13" s="83">
        <f>Datos_Diarios!F13</f>
        <v/>
      </c>
      <c r="D13" s="92">
        <f>Datos_Diarios!H13</f>
        <v/>
      </c>
      <c r="E13" s="93">
        <f>Datos_Diarios!I13</f>
        <v/>
      </c>
      <c r="F13" s="78">
        <f>Datos_Diarios!J13</f>
        <v/>
      </c>
    </row>
    <row r="14" ht="15" customHeight="1" s="59">
      <c r="A14" s="95" t="n">
        <v>11</v>
      </c>
      <c r="B14" s="96">
        <f>Datos_Diarios!B14</f>
        <v/>
      </c>
      <c r="C14" s="75">
        <f>Datos_Diarios!F14</f>
        <v/>
      </c>
      <c r="D14" s="87">
        <f>Datos_Diarios!H14</f>
        <v/>
      </c>
      <c r="E14" s="88">
        <f>Datos_Diarios!I14</f>
        <v/>
      </c>
      <c r="F14" s="77">
        <f>Datos_Diarios!J14</f>
        <v/>
      </c>
    </row>
    <row r="15" ht="15" customHeight="1" s="59">
      <c r="A15" s="97" t="n">
        <v>12</v>
      </c>
      <c r="B15" s="98">
        <f>Datos_Diarios!B15</f>
        <v/>
      </c>
      <c r="C15" s="83">
        <f>Datos_Diarios!F15</f>
        <v/>
      </c>
      <c r="D15" s="92">
        <f>Datos_Diarios!H15</f>
        <v/>
      </c>
      <c r="E15" s="93">
        <f>Datos_Diarios!I15</f>
        <v/>
      </c>
      <c r="F15" s="78">
        <f>Datos_Diarios!J15</f>
        <v/>
      </c>
    </row>
    <row r="16" ht="15" customHeight="1" s="59">
      <c r="A16" s="95" t="n">
        <v>13</v>
      </c>
      <c r="B16" s="96">
        <f>Datos_Diarios!B16</f>
        <v/>
      </c>
      <c r="C16" s="75">
        <f>Datos_Diarios!F16</f>
        <v/>
      </c>
      <c r="D16" s="87">
        <f>Datos_Diarios!H16</f>
        <v/>
      </c>
      <c r="E16" s="88">
        <f>Datos_Diarios!I16</f>
        <v/>
      </c>
      <c r="F16" s="77">
        <f>Datos_Diarios!J16</f>
        <v/>
      </c>
    </row>
    <row r="17" ht="15" customHeight="1" s="59">
      <c r="A17" s="97" t="n">
        <v>14</v>
      </c>
      <c r="B17" s="98">
        <f>Datos_Diarios!B17</f>
        <v/>
      </c>
      <c r="C17" s="83">
        <f>Datos_Diarios!F17</f>
        <v/>
      </c>
      <c r="D17" s="92">
        <f>Datos_Diarios!H17</f>
        <v/>
      </c>
      <c r="E17" s="93">
        <f>Datos_Diarios!I17</f>
        <v/>
      </c>
      <c r="F17" s="78">
        <f>Datos_Diarios!J17</f>
        <v/>
      </c>
    </row>
    <row r="18" ht="15" customHeight="1" s="59">
      <c r="A18" s="95" t="n">
        <v>15</v>
      </c>
      <c r="B18" s="96">
        <f>Datos_Diarios!B18</f>
        <v/>
      </c>
      <c r="C18" s="75">
        <f>Datos_Diarios!F18</f>
        <v/>
      </c>
      <c r="D18" s="87">
        <f>Datos_Diarios!H18</f>
        <v/>
      </c>
      <c r="E18" s="88">
        <f>Datos_Diarios!I18</f>
        <v/>
      </c>
      <c r="F18" s="77">
        <f>Datos_Diarios!J18</f>
        <v/>
      </c>
    </row>
    <row r="19" ht="15" customHeight="1" s="59">
      <c r="A19" s="97" t="n">
        <v>16</v>
      </c>
      <c r="B19" s="98">
        <f>Datos_Diarios!B19</f>
        <v/>
      </c>
      <c r="C19" s="83">
        <f>Datos_Diarios!F19</f>
        <v/>
      </c>
      <c r="D19" s="92">
        <f>Datos_Diarios!H19</f>
        <v/>
      </c>
      <c r="E19" s="93">
        <f>Datos_Diarios!I19</f>
        <v/>
      </c>
      <c r="F19" s="78">
        <f>Datos_Diarios!J19</f>
        <v/>
      </c>
    </row>
    <row r="20" ht="15" customHeight="1" s="59">
      <c r="A20" s="95" t="n">
        <v>17</v>
      </c>
      <c r="B20" s="96">
        <f>Datos_Diarios!B20</f>
        <v/>
      </c>
      <c r="C20" s="75">
        <f>Datos_Diarios!F20</f>
        <v/>
      </c>
      <c r="D20" s="87">
        <f>Datos_Diarios!H20</f>
        <v/>
      </c>
      <c r="E20" s="88">
        <f>Datos_Diarios!I20</f>
        <v/>
      </c>
      <c r="F20" s="77">
        <f>Datos_Diarios!J20</f>
        <v/>
      </c>
    </row>
    <row r="21" ht="15" customHeight="1" s="59">
      <c r="A21" s="97" t="n">
        <v>18</v>
      </c>
      <c r="B21" s="98">
        <f>Datos_Diarios!B21</f>
        <v/>
      </c>
      <c r="C21" s="83">
        <f>Datos_Diarios!F21</f>
        <v/>
      </c>
      <c r="D21" s="92">
        <f>Datos_Diarios!H21</f>
        <v/>
      </c>
      <c r="E21" s="93">
        <f>Datos_Diarios!I21</f>
        <v/>
      </c>
      <c r="F21" s="78">
        <f>Datos_Diarios!J21</f>
        <v/>
      </c>
    </row>
    <row r="22" ht="15" customHeight="1" s="59">
      <c r="A22" s="95" t="n">
        <v>19</v>
      </c>
      <c r="B22" s="96">
        <f>Datos_Diarios!B22</f>
        <v/>
      </c>
      <c r="C22" s="75">
        <f>Datos_Diarios!F22</f>
        <v/>
      </c>
      <c r="D22" s="87">
        <f>Datos_Diarios!H22</f>
        <v/>
      </c>
      <c r="E22" s="88">
        <f>Datos_Diarios!I22</f>
        <v/>
      </c>
      <c r="F22" s="77">
        <f>Datos_Diarios!J22</f>
        <v/>
      </c>
    </row>
    <row r="23" ht="15" customHeight="1" s="59">
      <c r="A23" s="97" t="n">
        <v>20</v>
      </c>
      <c r="B23" s="98">
        <f>Datos_Diarios!B23</f>
        <v/>
      </c>
      <c r="C23" s="83">
        <f>Datos_Diarios!F23</f>
        <v/>
      </c>
      <c r="D23" s="92">
        <f>Datos_Diarios!H23</f>
        <v/>
      </c>
      <c r="E23" s="93">
        <f>Datos_Diarios!I23</f>
        <v/>
      </c>
      <c r="F23" s="78">
        <f>Datos_Diarios!J23</f>
        <v/>
      </c>
    </row>
    <row r="24" ht="15" customHeight="1" s="59">
      <c r="A24" s="95" t="n">
        <v>21</v>
      </c>
      <c r="B24" s="96">
        <f>Datos_Diarios!B24</f>
        <v/>
      </c>
      <c r="C24" s="75">
        <f>Datos_Diarios!F24</f>
        <v/>
      </c>
      <c r="D24" s="87">
        <f>Datos_Diarios!H24</f>
        <v/>
      </c>
      <c r="E24" s="88">
        <f>Datos_Diarios!I24</f>
        <v/>
      </c>
      <c r="F24" s="77">
        <f>Datos_Diarios!J24</f>
        <v/>
      </c>
    </row>
    <row r="25" ht="15" customHeight="1" s="59">
      <c r="A25" s="97" t="n">
        <v>22</v>
      </c>
      <c r="B25" s="98">
        <f>Datos_Diarios!B25</f>
        <v/>
      </c>
      <c r="C25" s="83">
        <f>Datos_Diarios!F25</f>
        <v/>
      </c>
      <c r="D25" s="92">
        <f>Datos_Diarios!H25</f>
        <v/>
      </c>
      <c r="E25" s="93">
        <f>Datos_Diarios!I25</f>
        <v/>
      </c>
      <c r="F25" s="78">
        <f>Datos_Diarios!J25</f>
        <v/>
      </c>
    </row>
    <row r="26" ht="15" customHeight="1" s="59">
      <c r="A26" s="95" t="n">
        <v>23</v>
      </c>
      <c r="B26" s="96">
        <f>Datos_Diarios!B26</f>
        <v/>
      </c>
      <c r="C26" s="75">
        <f>Datos_Diarios!F26</f>
        <v/>
      </c>
      <c r="D26" s="87">
        <f>Datos_Diarios!H26</f>
        <v/>
      </c>
      <c r="E26" s="88">
        <f>Datos_Diarios!I26</f>
        <v/>
      </c>
      <c r="F26" s="77">
        <f>Datos_Diarios!J26</f>
        <v/>
      </c>
    </row>
    <row r="27" ht="15" customHeight="1" s="59">
      <c r="A27" s="97" t="n">
        <v>24</v>
      </c>
      <c r="B27" s="98">
        <f>Datos_Diarios!B27</f>
        <v/>
      </c>
      <c r="C27" s="83">
        <f>Datos_Diarios!F27</f>
        <v/>
      </c>
      <c r="D27" s="92">
        <f>Datos_Diarios!H27</f>
        <v/>
      </c>
      <c r="E27" s="93">
        <f>Datos_Diarios!I27</f>
        <v/>
      </c>
      <c r="F27" s="78">
        <f>Datos_Diarios!J27</f>
        <v/>
      </c>
    </row>
    <row r="28" ht="15" customHeight="1" s="59">
      <c r="A28" s="95" t="n">
        <v>25</v>
      </c>
      <c r="B28" s="96">
        <f>Datos_Diarios!B28</f>
        <v/>
      </c>
      <c r="C28" s="75">
        <f>Datos_Diarios!F28</f>
        <v/>
      </c>
      <c r="D28" s="87">
        <f>Datos_Diarios!H28</f>
        <v/>
      </c>
      <c r="E28" s="88">
        <f>Datos_Diarios!I28</f>
        <v/>
      </c>
      <c r="F28" s="77">
        <f>Datos_Diarios!J28</f>
        <v/>
      </c>
    </row>
    <row r="29" ht="15" customHeight="1" s="59">
      <c r="A29" s="97" t="n">
        <v>26</v>
      </c>
      <c r="B29" s="98">
        <f>Datos_Diarios!B29</f>
        <v/>
      </c>
      <c r="C29" s="83">
        <f>Datos_Diarios!F29</f>
        <v/>
      </c>
      <c r="D29" s="92">
        <f>Datos_Diarios!H29</f>
        <v/>
      </c>
      <c r="E29" s="93">
        <f>Datos_Diarios!I29</f>
        <v/>
      </c>
      <c r="F29" s="78">
        <f>Datos_Diarios!J29</f>
        <v/>
      </c>
    </row>
    <row r="30" ht="15" customHeight="1" s="59">
      <c r="A30" s="95" t="n">
        <v>27</v>
      </c>
      <c r="B30" s="96">
        <f>Datos_Diarios!B30</f>
        <v/>
      </c>
      <c r="C30" s="75">
        <f>Datos_Diarios!F30</f>
        <v/>
      </c>
      <c r="D30" s="87">
        <f>Datos_Diarios!H30</f>
        <v/>
      </c>
      <c r="E30" s="88">
        <f>Datos_Diarios!I30</f>
        <v/>
      </c>
      <c r="F30" s="77">
        <f>Datos_Diarios!J30</f>
        <v/>
      </c>
    </row>
    <row r="31" ht="15" customHeight="1" s="59">
      <c r="A31" s="97" t="n">
        <v>28</v>
      </c>
      <c r="B31" s="98">
        <f>Datos_Diarios!B31</f>
        <v/>
      </c>
      <c r="C31" s="83">
        <f>Datos_Diarios!F31</f>
        <v/>
      </c>
      <c r="D31" s="92">
        <f>Datos_Diarios!H31</f>
        <v/>
      </c>
      <c r="E31" s="93">
        <f>Datos_Diarios!I31</f>
        <v/>
      </c>
      <c r="F31" s="78">
        <f>Datos_Diarios!J31</f>
        <v/>
      </c>
    </row>
    <row r="32" ht="15" customHeight="1" s="59">
      <c r="A32" s="95" t="n">
        <v>29</v>
      </c>
      <c r="B32" s="96">
        <f>Datos_Diarios!B32</f>
        <v/>
      </c>
      <c r="C32" s="75">
        <f>Datos_Diarios!F32</f>
        <v/>
      </c>
      <c r="D32" s="87">
        <f>Datos_Diarios!H32</f>
        <v/>
      </c>
      <c r="E32" s="88">
        <f>Datos_Diarios!I32</f>
        <v/>
      </c>
      <c r="F32" s="77">
        <f>Datos_Diarios!J32</f>
        <v/>
      </c>
    </row>
    <row r="33" ht="15" customHeight="1" s="59">
      <c r="A33" s="97" t="n">
        <v>30</v>
      </c>
      <c r="B33" s="98">
        <f>Datos_Diarios!B33</f>
        <v/>
      </c>
      <c r="C33" s="83">
        <f>Datos_Diarios!F33</f>
        <v/>
      </c>
      <c r="D33" s="92">
        <f>Datos_Diarios!H33</f>
        <v/>
      </c>
      <c r="E33" s="93">
        <f>Datos_Diarios!I33</f>
        <v/>
      </c>
      <c r="F33" s="78">
        <f>Datos_Diarios!J33</f>
        <v/>
      </c>
    </row>
    <row r="34" ht="15" customHeight="1" s="59">
      <c r="A34" s="95" t="n">
        <v>31</v>
      </c>
      <c r="B34" s="96">
        <f>Datos_Diarios!B34</f>
        <v/>
      </c>
      <c r="C34" s="75">
        <f>Datos_Diarios!F34</f>
        <v/>
      </c>
      <c r="D34" s="87">
        <f>Datos_Diarios!H34</f>
        <v/>
      </c>
      <c r="E34" s="88">
        <f>Datos_Diarios!I34</f>
        <v/>
      </c>
      <c r="F34" s="77">
        <f>Datos_Diarios!J34</f>
        <v/>
      </c>
    </row>
    <row r="35" ht="15" customHeight="1" s="59">
      <c r="A35" s="97" t="n">
        <v>32</v>
      </c>
      <c r="B35" s="98">
        <f>Datos_Diarios!B35</f>
        <v/>
      </c>
      <c r="C35" s="83">
        <f>Datos_Diarios!F35</f>
        <v/>
      </c>
      <c r="D35" s="92">
        <f>Datos_Diarios!H35</f>
        <v/>
      </c>
      <c r="E35" s="93">
        <f>Datos_Diarios!I35</f>
        <v/>
      </c>
      <c r="F35" s="78">
        <f>Datos_Diarios!J35</f>
        <v/>
      </c>
    </row>
    <row r="36" ht="15" customHeight="1" s="59">
      <c r="A36" s="95" t="n">
        <v>33</v>
      </c>
      <c r="B36" s="96">
        <f>Datos_Diarios!B36</f>
        <v/>
      </c>
      <c r="C36" s="75">
        <f>Datos_Diarios!F36</f>
        <v/>
      </c>
      <c r="D36" s="87">
        <f>Datos_Diarios!H36</f>
        <v/>
      </c>
      <c r="E36" s="88">
        <f>Datos_Diarios!I36</f>
        <v/>
      </c>
      <c r="F36" s="77">
        <f>Datos_Diarios!J36</f>
        <v/>
      </c>
    </row>
    <row r="37" ht="15" customHeight="1" s="59">
      <c r="A37" s="97" t="n">
        <v>34</v>
      </c>
      <c r="B37" s="98">
        <f>Datos_Diarios!B37</f>
        <v/>
      </c>
      <c r="C37" s="83">
        <f>Datos_Diarios!F37</f>
        <v/>
      </c>
      <c r="D37" s="92">
        <f>Datos_Diarios!H37</f>
        <v/>
      </c>
      <c r="E37" s="93">
        <f>Datos_Diarios!I37</f>
        <v/>
      </c>
      <c r="F37" s="78">
        <f>Datos_Diarios!J37</f>
        <v/>
      </c>
    </row>
    <row r="38" ht="15" customHeight="1" s="59">
      <c r="A38" s="95" t="n">
        <v>35</v>
      </c>
      <c r="B38" s="96">
        <f>Datos_Diarios!B38</f>
        <v/>
      </c>
      <c r="C38" s="75">
        <f>Datos_Diarios!F38</f>
        <v/>
      </c>
      <c r="D38" s="87">
        <f>Datos_Diarios!H38</f>
        <v/>
      </c>
      <c r="E38" s="88">
        <f>Datos_Diarios!I38</f>
        <v/>
      </c>
      <c r="F38" s="77">
        <f>Datos_Diarios!J38</f>
        <v/>
      </c>
    </row>
    <row r="39" ht="15" customHeight="1" s="59">
      <c r="A39" s="97" t="n">
        <v>36</v>
      </c>
      <c r="B39" s="98">
        <f>Datos_Diarios!B39</f>
        <v/>
      </c>
      <c r="C39" s="83">
        <f>Datos_Diarios!F39</f>
        <v/>
      </c>
      <c r="D39" s="92">
        <f>Datos_Diarios!H39</f>
        <v/>
      </c>
      <c r="E39" s="93">
        <f>Datos_Diarios!I39</f>
        <v/>
      </c>
      <c r="F39" s="78">
        <f>Datos_Diarios!J39</f>
        <v/>
      </c>
    </row>
    <row r="40" ht="15" customHeight="1" s="59">
      <c r="A40" s="95" t="n">
        <v>37</v>
      </c>
      <c r="B40" s="96">
        <f>Datos_Diarios!B40</f>
        <v/>
      </c>
      <c r="C40" s="75">
        <f>Datos_Diarios!F40</f>
        <v/>
      </c>
      <c r="D40" s="87">
        <f>Datos_Diarios!H40</f>
        <v/>
      </c>
      <c r="E40" s="88">
        <f>Datos_Diarios!I40</f>
        <v/>
      </c>
      <c r="F40" s="77">
        <f>Datos_Diarios!J40</f>
        <v/>
      </c>
    </row>
    <row r="41" ht="15" customHeight="1" s="59">
      <c r="A41" s="97" t="n">
        <v>38</v>
      </c>
      <c r="B41" s="98">
        <f>Datos_Diarios!B41</f>
        <v/>
      </c>
      <c r="C41" s="83">
        <f>Datos_Diarios!F41</f>
        <v/>
      </c>
      <c r="D41" s="92">
        <f>Datos_Diarios!H41</f>
        <v/>
      </c>
      <c r="E41" s="93">
        <f>Datos_Diarios!I41</f>
        <v/>
      </c>
      <c r="F41" s="78">
        <f>Datos_Diarios!J41</f>
        <v/>
      </c>
    </row>
    <row r="42" ht="15" customHeight="1" s="59">
      <c r="A42" s="95" t="n">
        <v>39</v>
      </c>
      <c r="B42" s="96">
        <f>Datos_Diarios!B42</f>
        <v/>
      </c>
      <c r="C42" s="75">
        <f>Datos_Diarios!F42</f>
        <v/>
      </c>
      <c r="D42" s="87">
        <f>Datos_Diarios!H42</f>
        <v/>
      </c>
      <c r="E42" s="88">
        <f>Datos_Diarios!I42</f>
        <v/>
      </c>
      <c r="F42" s="77">
        <f>Datos_Diarios!J42</f>
        <v/>
      </c>
    </row>
    <row r="43" ht="15" customHeight="1" s="59">
      <c r="A43" s="97" t="n">
        <v>40</v>
      </c>
      <c r="B43" s="98">
        <f>Datos_Diarios!B43</f>
        <v/>
      </c>
      <c r="C43" s="83">
        <f>Datos_Diarios!F43</f>
        <v/>
      </c>
      <c r="D43" s="92">
        <f>Datos_Diarios!H43</f>
        <v/>
      </c>
      <c r="E43" s="93">
        <f>Datos_Diarios!I43</f>
        <v/>
      </c>
      <c r="F43" s="78">
        <f>Datos_Diarios!J43</f>
        <v/>
      </c>
    </row>
    <row r="44" ht="15" customHeight="1" s="59">
      <c r="A44" s="95" t="n">
        <v>41</v>
      </c>
      <c r="B44" s="96">
        <f>Datos_Diarios!B44</f>
        <v/>
      </c>
      <c r="C44" s="75">
        <f>Datos_Diarios!F44</f>
        <v/>
      </c>
      <c r="D44" s="87">
        <f>Datos_Diarios!H44</f>
        <v/>
      </c>
      <c r="E44" s="88">
        <f>Datos_Diarios!I44</f>
        <v/>
      </c>
      <c r="F44" s="77">
        <f>Datos_Diarios!J44</f>
        <v/>
      </c>
    </row>
    <row r="45" ht="15" customHeight="1" s="59">
      <c r="A45" s="97" t="n">
        <v>42</v>
      </c>
      <c r="B45" s="98">
        <f>Datos_Diarios!B45</f>
        <v/>
      </c>
      <c r="C45" s="83">
        <f>Datos_Diarios!F45</f>
        <v/>
      </c>
      <c r="D45" s="92">
        <f>Datos_Diarios!H45</f>
        <v/>
      </c>
      <c r="E45" s="93">
        <f>Datos_Diarios!I45</f>
        <v/>
      </c>
      <c r="F45" s="78">
        <f>Datos_Diarios!J45</f>
        <v/>
      </c>
    </row>
    <row r="46" ht="15" customHeight="1" s="59">
      <c r="A46" s="95" t="n">
        <v>43</v>
      </c>
      <c r="B46" s="96">
        <f>Datos_Diarios!B46</f>
        <v/>
      </c>
      <c r="C46" s="75">
        <f>Datos_Diarios!F46</f>
        <v/>
      </c>
      <c r="D46" s="87">
        <f>Datos_Diarios!H46</f>
        <v/>
      </c>
      <c r="E46" s="88">
        <f>Datos_Diarios!I46</f>
        <v/>
      </c>
      <c r="F46" s="77">
        <f>Datos_Diarios!J46</f>
        <v/>
      </c>
    </row>
    <row r="47" ht="15" customHeight="1" s="59">
      <c r="A47" s="97" t="n">
        <v>44</v>
      </c>
      <c r="B47" s="98">
        <f>Datos_Diarios!B47</f>
        <v/>
      </c>
      <c r="C47" s="83">
        <f>Datos_Diarios!F47</f>
        <v/>
      </c>
      <c r="D47" s="92">
        <f>Datos_Diarios!H47</f>
        <v/>
      </c>
      <c r="E47" s="93">
        <f>Datos_Diarios!I47</f>
        <v/>
      </c>
      <c r="F47" s="78">
        <f>Datos_Diarios!J47</f>
        <v/>
      </c>
    </row>
    <row r="48" ht="15" customHeight="1" s="59">
      <c r="A48" s="95" t="n">
        <v>45</v>
      </c>
      <c r="B48" s="96">
        <f>Datos_Diarios!B48</f>
        <v/>
      </c>
      <c r="C48" s="75">
        <f>Datos_Diarios!F48</f>
        <v/>
      </c>
      <c r="D48" s="87">
        <f>Datos_Diarios!H48</f>
        <v/>
      </c>
      <c r="E48" s="88">
        <f>Datos_Diarios!I48</f>
        <v/>
      </c>
      <c r="F48" s="77">
        <f>Datos_Diarios!J48</f>
        <v/>
      </c>
    </row>
    <row r="49" ht="15" customHeight="1" s="59">
      <c r="A49" s="97" t="n">
        <v>46</v>
      </c>
      <c r="B49" s="98">
        <f>Datos_Diarios!B49</f>
        <v/>
      </c>
      <c r="C49" s="83">
        <f>Datos_Diarios!F49</f>
        <v/>
      </c>
      <c r="D49" s="92">
        <f>Datos_Diarios!H49</f>
        <v/>
      </c>
      <c r="E49" s="93">
        <f>Datos_Diarios!I49</f>
        <v/>
      </c>
      <c r="F49" s="78">
        <f>Datos_Diarios!J49</f>
        <v/>
      </c>
    </row>
    <row r="50" ht="15" customHeight="1" s="59">
      <c r="A50" s="95" t="n">
        <v>47</v>
      </c>
      <c r="B50" s="96">
        <f>Datos_Diarios!B50</f>
        <v/>
      </c>
      <c r="C50" s="75">
        <f>Datos_Diarios!F50</f>
        <v/>
      </c>
      <c r="D50" s="87">
        <f>Datos_Diarios!H50</f>
        <v/>
      </c>
      <c r="E50" s="88">
        <f>Datos_Diarios!I50</f>
        <v/>
      </c>
      <c r="F50" s="77">
        <f>Datos_Diarios!J50</f>
        <v/>
      </c>
    </row>
    <row r="51" ht="15" customHeight="1" s="59">
      <c r="A51" s="97" t="n">
        <v>48</v>
      </c>
      <c r="B51" s="98">
        <f>Datos_Diarios!B51</f>
        <v/>
      </c>
      <c r="C51" s="83">
        <f>Datos_Diarios!F51</f>
        <v/>
      </c>
      <c r="D51" s="92">
        <f>Datos_Diarios!H51</f>
        <v/>
      </c>
      <c r="E51" s="93">
        <f>Datos_Diarios!I51</f>
        <v/>
      </c>
      <c r="F51" s="78">
        <f>Datos_Diarios!J51</f>
        <v/>
      </c>
    </row>
    <row r="52" ht="15" customHeight="1" s="59">
      <c r="A52" s="95" t="n">
        <v>49</v>
      </c>
      <c r="B52" s="96">
        <f>Datos_Diarios!B52</f>
        <v/>
      </c>
      <c r="C52" s="75">
        <f>Datos_Diarios!F52</f>
        <v/>
      </c>
      <c r="D52" s="87">
        <f>Datos_Diarios!H52</f>
        <v/>
      </c>
      <c r="E52" s="88">
        <f>Datos_Diarios!I52</f>
        <v/>
      </c>
      <c r="F52" s="77">
        <f>Datos_Diarios!J52</f>
        <v/>
      </c>
    </row>
    <row r="53" ht="15" customHeight="1" s="59">
      <c r="A53" s="97" t="n">
        <v>50</v>
      </c>
      <c r="B53" s="98">
        <f>Datos_Diarios!B53</f>
        <v/>
      </c>
      <c r="C53" s="83">
        <f>Datos_Diarios!F53</f>
        <v/>
      </c>
      <c r="D53" s="92">
        <f>Datos_Diarios!H53</f>
        <v/>
      </c>
      <c r="E53" s="93">
        <f>Datos_Diarios!I53</f>
        <v/>
      </c>
      <c r="F53" s="78">
        <f>Datos_Diarios!J53</f>
        <v/>
      </c>
    </row>
    <row r="54" ht="15" customHeight="1" s="59">
      <c r="A54" s="95" t="n">
        <v>51</v>
      </c>
      <c r="B54" s="96">
        <f>Datos_Diarios!B54</f>
        <v/>
      </c>
      <c r="C54" s="75">
        <f>Datos_Diarios!F54</f>
        <v/>
      </c>
      <c r="D54" s="87">
        <f>Datos_Diarios!H54</f>
        <v/>
      </c>
      <c r="E54" s="88">
        <f>Datos_Diarios!I54</f>
        <v/>
      </c>
      <c r="F54" s="77">
        <f>Datos_Diarios!J54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8" min="1" max="1"/>
    <col width="14" customWidth="1" style="58" min="2" max="3"/>
    <col width="7" customWidth="1" style="58" min="4" max="4"/>
    <col width="13" customWidth="1" style="58" min="5" max="7"/>
    <col width="14" customWidth="1" style="58" min="8" max="8"/>
    <col width="50" customWidth="1" style="58" min="9" max="9"/>
  </cols>
  <sheetData>
    <row r="1" ht="27.75" customHeight="1" s="59">
      <c r="A1" s="60" t="inlineStr">
        <is>
          <t>📅 CURVA S SEMANAL — AVANCE ACUMULADO | SINCRONISMO GENERACIÓN SANTA ROSA</t>
        </is>
      </c>
    </row>
    <row r="2" ht="15.75" customHeight="1" s="59">
      <c r="A2" s="61" t="inlineStr">
        <is>
          <t>Semanas de Lunes a Domingo desde inicio del proyecto. Alimentado desde 'Datos_Diarios'.</t>
        </is>
      </c>
    </row>
    <row r="3" ht="33.75" customHeight="1" s="59">
      <c r="A3" s="62" t="inlineStr">
        <is>
          <t>Semana</t>
        </is>
      </c>
      <c r="B3" s="62" t="inlineStr">
        <is>
          <t>Inicio
Semana</t>
        </is>
      </c>
      <c r="C3" s="62" t="inlineStr">
        <is>
          <t>Cierre
Semana</t>
        </is>
      </c>
      <c r="D3" s="62" t="inlineStr">
        <is>
          <t>Días</t>
        </is>
      </c>
      <c r="E3" s="62" t="inlineStr">
        <is>
          <t>% Plan
Acum.</t>
        </is>
      </c>
      <c r="F3" s="62" t="inlineStr">
        <is>
          <t>% Real
Acum.</t>
        </is>
      </c>
      <c r="G3" s="62" t="inlineStr">
        <is>
          <t>Variación</t>
        </is>
      </c>
      <c r="H3" s="62" t="inlineStr">
        <is>
          <t>Estado</t>
        </is>
      </c>
      <c r="I3" s="62" t="inlineStr">
        <is>
          <t>Resumen Semanal</t>
        </is>
      </c>
    </row>
    <row r="4" ht="19.5" customHeight="1" s="59">
      <c r="A4" s="84" t="inlineStr">
        <is>
          <t>Semana 1</t>
        </is>
      </c>
      <c r="B4" s="85" t="n">
        <v>46119</v>
      </c>
      <c r="C4" s="85" t="n">
        <v>46124</v>
      </c>
      <c r="D4" s="86" t="n">
        <v>6</v>
      </c>
      <c r="E4" s="75">
        <f>Datos_Diarios!F9</f>
        <v/>
      </c>
      <c r="F4" s="87">
        <f>Datos_Diarios!H9</f>
        <v/>
      </c>
      <c r="G4" s="88">
        <f>F4-E4</f>
        <v/>
      </c>
      <c r="H4" s="77">
        <f>IF(F4=0,"⬜ Sin datos",IF(F4&gt;=E4,"✅ En meta","⚠️ Bajo plan"))</f>
        <v/>
      </c>
      <c r="I4" s="89" t="n"/>
    </row>
    <row r="5" ht="19.5" customHeight="1" s="59">
      <c r="A5" s="90" t="inlineStr">
        <is>
          <t>Semana 2</t>
        </is>
      </c>
      <c r="B5" s="81" t="n">
        <v>46125</v>
      </c>
      <c r="C5" s="81" t="n">
        <v>46131</v>
      </c>
      <c r="D5" s="91" t="n">
        <v>7</v>
      </c>
      <c r="E5" s="83">
        <f>Datos_Diarios!F16</f>
        <v/>
      </c>
      <c r="F5" s="92">
        <f>Datos_Diarios!H16</f>
        <v/>
      </c>
      <c r="G5" s="93">
        <f>F5-E5</f>
        <v/>
      </c>
      <c r="H5" s="78">
        <f>IF(F5=0,"⬜ Sin datos",IF(F5&gt;=E5,"✅ En meta","⚠️ Bajo plan"))</f>
        <v/>
      </c>
      <c r="I5" s="94" t="n"/>
    </row>
    <row r="6" ht="19.5" customHeight="1" s="59">
      <c r="A6" s="84" t="inlineStr">
        <is>
          <t>Semana 3</t>
        </is>
      </c>
      <c r="B6" s="85" t="n">
        <v>46132</v>
      </c>
      <c r="C6" s="85" t="n">
        <v>46138</v>
      </c>
      <c r="D6" s="86" t="n">
        <v>7</v>
      </c>
      <c r="E6" s="75">
        <f>Datos_Diarios!F23</f>
        <v/>
      </c>
      <c r="F6" s="87">
        <f>Datos_Diarios!H23</f>
        <v/>
      </c>
      <c r="G6" s="88">
        <f>F6-E6</f>
        <v/>
      </c>
      <c r="H6" s="77">
        <f>IF(F6=0,"⬜ Sin datos",IF(F6&gt;=E6,"✅ En meta","⚠️ Bajo plan"))</f>
        <v/>
      </c>
      <c r="I6" s="89" t="n"/>
    </row>
    <row r="7" ht="19.5" customHeight="1" s="59">
      <c r="A7" s="90" t="inlineStr">
        <is>
          <t>Semana 4</t>
        </is>
      </c>
      <c r="B7" s="81" t="n">
        <v>46139</v>
      </c>
      <c r="C7" s="81" t="n">
        <v>46145</v>
      </c>
      <c r="D7" s="91" t="n">
        <v>7</v>
      </c>
      <c r="E7" s="83">
        <f>Datos_Diarios!F30</f>
        <v/>
      </c>
      <c r="F7" s="92">
        <f>Datos_Diarios!H30</f>
        <v/>
      </c>
      <c r="G7" s="93">
        <f>F7-E7</f>
        <v/>
      </c>
      <c r="H7" s="78">
        <f>IF(F7=0,"⬜ Sin datos",IF(F7&gt;=E7,"✅ En meta","⚠️ Bajo plan"))</f>
        <v/>
      </c>
      <c r="I7" s="94" t="n"/>
    </row>
    <row r="8" ht="19.5" customHeight="1" s="59">
      <c r="A8" s="84" t="inlineStr">
        <is>
          <t>Semana 5</t>
        </is>
      </c>
      <c r="B8" s="85" t="n">
        <v>46146</v>
      </c>
      <c r="C8" s="85" t="n">
        <v>46152</v>
      </c>
      <c r="D8" s="86" t="n">
        <v>7</v>
      </c>
      <c r="E8" s="75">
        <f>Datos_Diarios!F37</f>
        <v/>
      </c>
      <c r="F8" s="87">
        <f>Datos_Diarios!H37</f>
        <v/>
      </c>
      <c r="G8" s="88">
        <f>F8-E8</f>
        <v/>
      </c>
      <c r="H8" s="77">
        <f>IF(F8=0,"⬜ Sin datos",IF(F8&gt;=E8,"✅ En meta","⚠️ Bajo plan"))</f>
        <v/>
      </c>
      <c r="I8" s="89" t="n"/>
    </row>
    <row r="9" ht="19.5" customHeight="1" s="59">
      <c r="A9" s="90" t="inlineStr">
        <is>
          <t>Semana 6</t>
        </is>
      </c>
      <c r="B9" s="81" t="n">
        <v>46153</v>
      </c>
      <c r="C9" s="81" t="n">
        <v>46159</v>
      </c>
      <c r="D9" s="91" t="n">
        <v>7</v>
      </c>
      <c r="E9" s="83">
        <f>Datos_Diarios!F44</f>
        <v/>
      </c>
      <c r="F9" s="92">
        <f>Datos_Diarios!H44</f>
        <v/>
      </c>
      <c r="G9" s="93">
        <f>F9-E9</f>
        <v/>
      </c>
      <c r="H9" s="78">
        <f>IF(F9=0,"⬜ Sin datos",IF(F9&gt;=E9,"✅ En meta","⚠️ Bajo plan"))</f>
        <v/>
      </c>
      <c r="I9" s="94" t="n"/>
    </row>
    <row r="10" ht="19.5" customHeight="1" s="59">
      <c r="A10" s="84" t="inlineStr">
        <is>
          <t>Semana 7</t>
        </is>
      </c>
      <c r="B10" s="85" t="n">
        <v>46160</v>
      </c>
      <c r="C10" s="85" t="n">
        <v>46166</v>
      </c>
      <c r="D10" s="86" t="n">
        <v>7</v>
      </c>
      <c r="E10" s="75">
        <f>Datos_Diarios!F51</f>
        <v/>
      </c>
      <c r="F10" s="87">
        <f>Datos_Diarios!H51</f>
        <v/>
      </c>
      <c r="G10" s="88">
        <f>F10-E10</f>
        <v/>
      </c>
      <c r="H10" s="77">
        <f>IF(F10=0,"⬜ Sin datos",IF(F10&gt;=E10,"✅ En meta","⚠️ Bajo plan"))</f>
        <v/>
      </c>
      <c r="I10" s="89" t="n"/>
    </row>
    <row r="11" ht="19.5" customHeight="1" s="59">
      <c r="A11" s="90" t="inlineStr">
        <is>
          <t>Semana 8</t>
        </is>
      </c>
      <c r="B11" s="81" t="n">
        <v>46167</v>
      </c>
      <c r="C11" s="81" t="n">
        <v>46169</v>
      </c>
      <c r="D11" s="91" t="n">
        <v>3</v>
      </c>
      <c r="E11" s="83">
        <f>Datos_Diarios!F54</f>
        <v/>
      </c>
      <c r="F11" s="92">
        <f>Datos_Diarios!H54</f>
        <v/>
      </c>
      <c r="G11" s="93">
        <f>F11-E11</f>
        <v/>
      </c>
      <c r="H11" s="78">
        <f>IF(F11=0,"⬜ Sin datos",IF(F11&gt;=E11,"✅ En meta","⚠️ Bajo plan"))</f>
        <v/>
      </c>
      <c r="I11" s="94" t="n"/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58" min="1" max="2"/>
    <col width="55" customWidth="1" style="58" min="3" max="3"/>
    <col width="10" customWidth="1" style="58" min="4" max="4"/>
    <col width="12" customWidth="1" style="58" min="5" max="6"/>
    <col width="9" customWidth="1" style="58" min="7" max="8"/>
    <col width="10" customWidth="1" style="58" min="9" max="9"/>
    <col width="14" customWidth="1" style="58" min="10" max="10"/>
  </cols>
  <sheetData>
    <row r="1" ht="27.75" customHeight="1" s="59">
      <c r="A1" s="60" t="inlineStr">
        <is>
          <t>📋 PDT — PLAN DE TRABAJO | SINCRONISMO GENERACIÓN ESTACIÓN SANTA ROSA | CENIT</t>
        </is>
      </c>
    </row>
    <row r="2" ht="15.75" customHeight="1" s="59">
      <c r="A2" s="61" t="inlineStr">
        <is>
          <t>Supervisor: Ing. Edwin Grisales  |  Contratista: Confipetrol  |  Profesional: Ing. Natalia Isabel Chacón Serna  |  Jornada: 12h – 1.5h = 10.5h/día</t>
        </is>
      </c>
    </row>
    <row r="3" ht="33.75" customHeight="1" s="59">
      <c r="A3" s="62" t="inlineStr">
        <is>
          <t>ID</t>
        </is>
      </c>
      <c r="B3" s="62" t="inlineStr">
        <is>
          <t>Niv.</t>
        </is>
      </c>
      <c r="C3" s="62" t="inlineStr">
        <is>
          <t>Actividad / EDT</t>
        </is>
      </c>
      <c r="D3" s="62" t="inlineStr">
        <is>
          <t>Dur.
(horas)</t>
        </is>
      </c>
      <c r="E3" s="62" t="inlineStr">
        <is>
          <t>Inicio
Plan</t>
        </is>
      </c>
      <c r="F3" s="62" t="inlineStr">
        <is>
          <t>Fin
Plan</t>
        </is>
      </c>
      <c r="G3" s="62" t="inlineStr">
        <is>
          <t>% Plan
Indiv.</t>
        </is>
      </c>
      <c r="H3" s="62" t="inlineStr">
        <is>
          <t>% Plan
Acum.</t>
        </is>
      </c>
      <c r="I3" s="62" t="inlineStr">
        <is>
          <t>% Real
Ejec.</t>
        </is>
      </c>
      <c r="J3" s="62" t="inlineStr">
        <is>
          <t>Estado</t>
        </is>
      </c>
    </row>
    <row r="4" ht="15.75" customHeight="1" s="59">
      <c r="A4" s="62" t="n">
        <v>1</v>
      </c>
      <c r="B4" s="62" t="n">
        <v>1</v>
      </c>
      <c r="C4" s="63" t="inlineStr">
        <is>
          <t>PROYECTO</t>
        </is>
      </c>
      <c r="D4" s="64" t="n">
        <v>420</v>
      </c>
      <c r="E4" s="65" t="n">
        <v>46119</v>
      </c>
      <c r="F4" s="65" t="n">
        <v>46169</v>
      </c>
      <c r="G4" s="62" t="n"/>
      <c r="H4" s="62" t="n"/>
      <c r="I4" s="62" t="n"/>
      <c r="J4" s="62" t="n"/>
    </row>
    <row r="5" ht="15.75" customHeight="1" s="59">
      <c r="A5" s="66" t="n">
        <v>2</v>
      </c>
      <c r="B5" s="66" t="n">
        <v>2</v>
      </c>
      <c r="C5" s="67" t="inlineStr">
        <is>
          <t xml:space="preserve">  Inicio (Hito)</t>
        </is>
      </c>
      <c r="D5" s="66" t="inlineStr">
        <is>
          <t>Hito</t>
        </is>
      </c>
      <c r="E5" s="68" t="n">
        <v>46119</v>
      </c>
      <c r="F5" s="68" t="n">
        <v>46119</v>
      </c>
      <c r="G5" s="66" t="n"/>
      <c r="H5" s="66" t="n"/>
      <c r="I5" s="66" t="n"/>
      <c r="J5" s="66" t="n"/>
    </row>
    <row r="6" ht="15.75" customHeight="1" s="59">
      <c r="A6" s="66" t="n">
        <v>3</v>
      </c>
      <c r="B6" s="66" t="n">
        <v>2</v>
      </c>
      <c r="C6" s="67" t="inlineStr">
        <is>
          <t xml:space="preserve">  FASE DE ADQUISICIÓN Y PROCURA</t>
        </is>
      </c>
      <c r="D6" s="69" t="n">
        <v>105</v>
      </c>
      <c r="E6" s="68" t="n">
        <v>46119</v>
      </c>
      <c r="F6" s="68" t="n">
        <v>46132</v>
      </c>
      <c r="G6" s="66" t="n"/>
      <c r="H6" s="66" t="n"/>
      <c r="I6" s="66" t="n"/>
      <c r="J6" s="66" t="n"/>
    </row>
    <row r="7" ht="15.75" customHeight="1" s="59">
      <c r="A7" s="70" t="n">
        <v>4</v>
      </c>
      <c r="B7" s="70" t="n">
        <v>3</v>
      </c>
      <c r="C7" s="71" t="inlineStr">
        <is>
          <t xml:space="preserve">    Liberación de OM (CLIENTE)</t>
        </is>
      </c>
      <c r="D7" s="72" t="n">
        <v>21</v>
      </c>
      <c r="E7" s="73" t="n">
        <v>46120</v>
      </c>
      <c r="F7" s="73" t="n">
        <v>46121</v>
      </c>
      <c r="G7" s="74" t="n">
        <v>0.0256410256410256</v>
      </c>
      <c r="H7" s="75" t="n">
        <v>0.0512820512820513</v>
      </c>
      <c r="I7" s="76" t="n">
        <v>0</v>
      </c>
      <c r="J7" s="77">
        <f>IF(I7=0,"⬜ Sin iniciar",IF(I7&gt;=H7,"✅ Cumplido",IF(I7&gt;0,"⚠️ En progreso","")))</f>
        <v/>
      </c>
    </row>
    <row r="8" ht="15.75" customHeight="1" s="59">
      <c r="A8" s="70" t="n">
        <v>5</v>
      </c>
      <c r="B8" s="70" t="n">
        <v>3</v>
      </c>
      <c r="C8" s="71" t="inlineStr">
        <is>
          <t xml:space="preserve">    Adquisición y contratación</t>
        </is>
      </c>
      <c r="D8" s="72" t="n">
        <v>84</v>
      </c>
      <c r="E8" s="73" t="n">
        <v>46119</v>
      </c>
      <c r="F8" s="73" t="n">
        <v>46128</v>
      </c>
      <c r="G8" s="70" t="n"/>
      <c r="H8" s="70" t="n"/>
      <c r="I8" s="70" t="n"/>
      <c r="J8" s="70" t="n"/>
    </row>
    <row r="9" ht="15.75" customHeight="1" s="59">
      <c r="A9" s="78" t="n">
        <v>6</v>
      </c>
      <c r="B9" s="78" t="n">
        <v>4</v>
      </c>
      <c r="C9" s="79" t="inlineStr">
        <is>
          <t xml:space="preserve">      Elaboración de RQ (bienes, servicios o materiales)</t>
        </is>
      </c>
      <c r="D9" s="80" t="n">
        <v>21</v>
      </c>
      <c r="E9" s="81" t="n">
        <v>46119</v>
      </c>
      <c r="F9" s="81" t="n">
        <v>46120</v>
      </c>
      <c r="G9" s="82" t="n">
        <v>0.0256410256410256</v>
      </c>
      <c r="H9" s="83" t="n">
        <v>0.0256410256410256</v>
      </c>
      <c r="I9" s="76" t="n">
        <v>0</v>
      </c>
      <c r="J9" s="78">
        <f>IF(I9=0,"⬜ Sin iniciar",IF(I9&gt;=H9,"✅ Cumplido",IF(I9&gt;0,"⚠️ En progreso","")))</f>
        <v/>
      </c>
    </row>
    <row r="10" ht="15.75" customHeight="1" s="59">
      <c r="A10" s="78" t="n">
        <v>7</v>
      </c>
      <c r="B10" s="78" t="n">
        <v>4</v>
      </c>
      <c r="C10" s="79" t="inlineStr">
        <is>
          <t xml:space="preserve">      Generación de Solped</t>
        </is>
      </c>
      <c r="D10" s="80" t="n">
        <v>21</v>
      </c>
      <c r="E10" s="81" t="n">
        <v>46122</v>
      </c>
      <c r="F10" s="81" t="n">
        <v>46125</v>
      </c>
      <c r="G10" s="82" t="n">
        <v>0.0256410256410256</v>
      </c>
      <c r="H10" s="83" t="n">
        <v>0.0769230769230769</v>
      </c>
      <c r="I10" s="76" t="n">
        <v>0</v>
      </c>
      <c r="J10" s="78">
        <f>IF(I10=0,"⬜ Sin iniciar",IF(I10&gt;=H10,"✅ Cumplido",IF(I10&gt;0,"⚠️ En progreso","")))</f>
        <v/>
      </c>
    </row>
    <row r="11" ht="15.75" customHeight="1" s="59">
      <c r="A11" s="78" t="n">
        <v>8</v>
      </c>
      <c r="B11" s="78" t="n">
        <v>4</v>
      </c>
      <c r="C11" s="79" t="inlineStr">
        <is>
          <t xml:space="preserve">      Proceso de selección</t>
        </is>
      </c>
      <c r="D11" s="80" t="n">
        <v>10.5</v>
      </c>
      <c r="E11" s="81" t="n">
        <v>46126</v>
      </c>
      <c r="F11" s="81" t="n">
        <v>46126</v>
      </c>
      <c r="G11" s="82" t="n">
        <v>0.0128205128205128</v>
      </c>
      <c r="H11" s="83" t="n">
        <v>0.0897435897435897</v>
      </c>
      <c r="I11" s="76" t="n">
        <v>0</v>
      </c>
      <c r="J11" s="78">
        <f>IF(I11=0,"⬜ Sin iniciar",IF(I11&gt;=H11,"✅ Cumplido",IF(I11&gt;0,"⚠️ En progreso","")))</f>
        <v/>
      </c>
    </row>
    <row r="12" ht="15.75" customHeight="1" s="59">
      <c r="A12" s="78" t="n">
        <v>9</v>
      </c>
      <c r="B12" s="78" t="n">
        <v>4</v>
      </c>
      <c r="C12" s="79" t="inlineStr">
        <is>
          <t xml:space="preserve">      Generación ODC</t>
        </is>
      </c>
      <c r="D12" s="80" t="n">
        <v>21</v>
      </c>
      <c r="E12" s="81" t="n">
        <v>46127</v>
      </c>
      <c r="F12" s="81" t="n">
        <v>46128</v>
      </c>
      <c r="G12" s="82" t="n">
        <v>0.0256410256410256</v>
      </c>
      <c r="H12" s="83" t="n">
        <v>0.115384615384615</v>
      </c>
      <c r="I12" s="76" t="n">
        <v>0</v>
      </c>
      <c r="J12" s="78">
        <f>IF(I12=0,"⬜ Sin iniciar",IF(I12&gt;=H12,"✅ Cumplido",IF(I12&gt;0,"⚠️ En progreso","")))</f>
        <v/>
      </c>
    </row>
    <row r="13" ht="15.75" customHeight="1" s="59">
      <c r="A13" s="70" t="n">
        <v>10</v>
      </c>
      <c r="B13" s="70" t="n">
        <v>3</v>
      </c>
      <c r="C13" s="71" t="inlineStr">
        <is>
          <t xml:space="preserve">    Entrega de pólizas</t>
        </is>
      </c>
      <c r="D13" s="72" t="n">
        <v>21</v>
      </c>
      <c r="E13" s="73" t="n">
        <v>46129</v>
      </c>
      <c r="F13" s="73" t="n">
        <v>46132</v>
      </c>
      <c r="G13" s="74" t="n">
        <v>0.0256410256410256</v>
      </c>
      <c r="H13" s="75" t="n">
        <v>0.141025641025641</v>
      </c>
      <c r="I13" s="76" t="n">
        <v>0</v>
      </c>
      <c r="J13" s="77">
        <f>IF(I13=0,"⬜ Sin iniciar",IF(I13&gt;=H13,"✅ Cumplido",IF(I13&gt;0,"⚠️ En progreso","")))</f>
        <v/>
      </c>
    </row>
    <row r="14" ht="15.75" customHeight="1" s="59">
      <c r="A14" s="66" t="n">
        <v>11</v>
      </c>
      <c r="B14" s="66" t="n">
        <v>2</v>
      </c>
      <c r="C14" s="67" t="inlineStr">
        <is>
          <t xml:space="preserve">  FASE DOCUMENTACIÓN</t>
        </is>
      </c>
      <c r="D14" s="69" t="n">
        <v>115.5</v>
      </c>
      <c r="E14" s="68" t="n">
        <v>46133</v>
      </c>
      <c r="F14" s="68" t="n">
        <v>46146</v>
      </c>
      <c r="G14" s="66" t="n"/>
      <c r="H14" s="66" t="n"/>
      <c r="I14" s="66" t="n"/>
      <c r="J14" s="66" t="n"/>
    </row>
    <row r="15" ht="15.75" customHeight="1" s="59">
      <c r="A15" s="70" t="n">
        <v>12</v>
      </c>
      <c r="B15" s="70" t="n">
        <v>3</v>
      </c>
      <c r="C15" s="71" t="inlineStr">
        <is>
          <t xml:space="preserve">    Entrega de requisitos HSE para ingreso a estaciones</t>
        </is>
      </c>
      <c r="D15" s="72" t="n">
        <v>31.5</v>
      </c>
      <c r="E15" s="73" t="n">
        <v>46133</v>
      </c>
      <c r="F15" s="73" t="n">
        <v>46135</v>
      </c>
      <c r="G15" s="74" t="n">
        <v>0.0384615384615385</v>
      </c>
      <c r="H15" s="75" t="n">
        <v>0.17948717948718</v>
      </c>
      <c r="I15" s="76" t="n">
        <v>0</v>
      </c>
      <c r="J15" s="77">
        <f>IF(I15=0,"⬜ Sin iniciar",IF(I15&gt;=H15,"✅ Cumplido",IF(I15&gt;0,"⚠️ En progreso","")))</f>
        <v/>
      </c>
    </row>
    <row r="16" ht="15.75" customHeight="1" s="59">
      <c r="A16" s="70" t="n">
        <v>13</v>
      </c>
      <c r="B16" s="70" t="n">
        <v>3</v>
      </c>
      <c r="C16" s="71" t="inlineStr">
        <is>
          <t xml:space="preserve">    Elaboración de procedimientos de trabajo</t>
        </is>
      </c>
      <c r="D16" s="72" t="n">
        <v>21</v>
      </c>
      <c r="E16" s="73" t="n">
        <v>46136</v>
      </c>
      <c r="F16" s="73" t="n">
        <v>46139</v>
      </c>
      <c r="G16" s="74" t="n">
        <v>0.0256410256410256</v>
      </c>
      <c r="H16" s="75" t="n">
        <v>0.205128205128205</v>
      </c>
      <c r="I16" s="76" t="n">
        <v>0</v>
      </c>
      <c r="J16" s="77">
        <f>IF(I16=0,"⬜ Sin iniciar",IF(I16&gt;=H16,"✅ Cumplido",IF(I16&gt;0,"⚠️ En progreso","")))</f>
        <v/>
      </c>
    </row>
    <row r="17" ht="15.75" customHeight="1" s="59">
      <c r="A17" s="70" t="n">
        <v>14</v>
      </c>
      <c r="B17" s="70" t="n">
        <v>3</v>
      </c>
      <c r="C17" s="71" t="inlineStr">
        <is>
          <t xml:space="preserve">    Cargue de recursos en ADAN N-3</t>
        </is>
      </c>
      <c r="D17" s="72" t="n">
        <v>21</v>
      </c>
      <c r="E17" s="73" t="n">
        <v>46140</v>
      </c>
      <c r="F17" s="73" t="n">
        <v>46141</v>
      </c>
      <c r="G17" s="74" t="n">
        <v>0.0256410256410256</v>
      </c>
      <c r="H17" s="75" t="n">
        <v>0.230769230769231</v>
      </c>
      <c r="I17" s="76" t="n">
        <v>0</v>
      </c>
      <c r="J17" s="77">
        <f>IF(I17=0,"⬜ Sin iniciar",IF(I17&gt;=H17,"✅ Cumplido",IF(I17&gt;0,"⚠️ En progreso","")))</f>
        <v/>
      </c>
    </row>
    <row r="18" ht="15.75" customHeight="1" s="59">
      <c r="A18" s="70" t="n">
        <v>15</v>
      </c>
      <c r="B18" s="70" t="n">
        <v>3</v>
      </c>
      <c r="C18" s="71" t="inlineStr">
        <is>
          <t xml:space="preserve">    Validación EVA N-1</t>
        </is>
      </c>
      <c r="D18" s="72" t="n">
        <v>10.5</v>
      </c>
      <c r="E18" s="73" t="n">
        <v>46146</v>
      </c>
      <c r="F18" s="73" t="n">
        <v>46146</v>
      </c>
      <c r="G18" s="74" t="n">
        <v>0.0128205128205128</v>
      </c>
      <c r="H18" s="75" t="n">
        <v>0.243589743589744</v>
      </c>
      <c r="I18" s="76" t="n">
        <v>0</v>
      </c>
      <c r="J18" s="77">
        <f>IF(I18=0,"⬜ Sin iniciar",IF(I18&gt;=H18,"✅ Cumplido",IF(I18&gt;0,"⚠️ En progreso","")))</f>
        <v/>
      </c>
    </row>
    <row r="19" ht="15.75" customHeight="1" s="59">
      <c r="A19" s="66" t="n">
        <v>16</v>
      </c>
      <c r="B19" s="66" t="n">
        <v>2</v>
      </c>
      <c r="C19" s="67" t="inlineStr">
        <is>
          <t xml:space="preserve">  FASE DE EJECUCIÓN</t>
        </is>
      </c>
      <c r="D19" s="69" t="n">
        <v>199.5</v>
      </c>
      <c r="E19" s="68" t="n">
        <v>46143</v>
      </c>
      <c r="F19" s="68" t="n">
        <v>46164</v>
      </c>
      <c r="G19" s="66" t="n"/>
      <c r="H19" s="66" t="n"/>
      <c r="I19" s="66" t="n"/>
      <c r="J19" s="66" t="n"/>
    </row>
    <row r="20" ht="15.75" customHeight="1" s="59">
      <c r="A20" s="70" t="n">
        <v>17</v>
      </c>
      <c r="B20" s="70" t="n">
        <v>3</v>
      </c>
      <c r="C20" s="71" t="inlineStr">
        <is>
          <t xml:space="preserve">    Traslado de materiales</t>
        </is>
      </c>
      <c r="D20" s="72" t="n">
        <v>21</v>
      </c>
      <c r="E20" s="73" t="n">
        <v>46145</v>
      </c>
      <c r="F20" s="73" t="n">
        <v>46146</v>
      </c>
      <c r="G20" s="74" t="n">
        <v>0.0256410256410256</v>
      </c>
      <c r="H20" s="75" t="n">
        <v>0.269230769230769</v>
      </c>
      <c r="I20" s="76" t="n">
        <v>0</v>
      </c>
      <c r="J20" s="77">
        <f>IF(I20=0,"⬜ Sin iniciar",IF(I20&gt;=H20,"✅ Cumplido",IF(I20&gt;0,"⚠️ En progreso","")))</f>
        <v/>
      </c>
    </row>
    <row r="21" ht="15.75" customHeight="1" s="59">
      <c r="A21" s="70" t="n">
        <v>18</v>
      </c>
      <c r="B21" s="70" t="n">
        <v>3</v>
      </c>
      <c r="C21" s="71" t="inlineStr">
        <is>
          <t xml:space="preserve">    Posicionamiento de generador de respaldo</t>
        </is>
      </c>
      <c r="D21" s="72" t="n">
        <v>10.5</v>
      </c>
      <c r="E21" s="73" t="n">
        <v>46147</v>
      </c>
      <c r="F21" s="73" t="n">
        <v>46147</v>
      </c>
      <c r="G21" s="74" t="n">
        <v>0.0128205128205128</v>
      </c>
      <c r="H21" s="75" t="n">
        <v>0.282051282051282</v>
      </c>
      <c r="I21" s="76" t="n">
        <v>0</v>
      </c>
      <c r="J21" s="77">
        <f>IF(I21=0,"⬜ Sin iniciar",IF(I21&gt;=H21,"✅ Cumplido",IF(I21&gt;0,"⚠️ En progreso","")))</f>
        <v/>
      </c>
    </row>
    <row r="22" ht="15.75" customHeight="1" s="59">
      <c r="A22" s="70" t="n">
        <v>19</v>
      </c>
      <c r="B22" s="70" t="n">
        <v>3</v>
      </c>
      <c r="C22" s="71" t="inlineStr">
        <is>
          <t xml:space="preserve">    Conexionado de generador de respaldo</t>
        </is>
      </c>
      <c r="D22" s="72" t="n">
        <v>21</v>
      </c>
      <c r="E22" s="73" t="n">
        <v>46148</v>
      </c>
      <c r="F22" s="73" t="n">
        <v>46149</v>
      </c>
      <c r="G22" s="74" t="n">
        <v>0.0256410256410256</v>
      </c>
      <c r="H22" s="75" t="n">
        <v>0.384615384615385</v>
      </c>
      <c r="I22" s="76" t="n">
        <v>0</v>
      </c>
      <c r="J22" s="77">
        <f>IF(I22=0,"⬜ Sin iniciar",IF(I22&gt;=H22,"✅ Cumplido",IF(I22&gt;0,"⚠️ En progreso","")))</f>
        <v/>
      </c>
    </row>
    <row r="23" ht="15.75" customHeight="1" s="59">
      <c r="A23" s="70" t="n">
        <v>20</v>
      </c>
      <c r="B23" s="70" t="n">
        <v>3</v>
      </c>
      <c r="C23" s="71" t="inlineStr">
        <is>
          <t xml:space="preserve">    Pruebas funcionales a generador de respaldo</t>
        </is>
      </c>
      <c r="D23" s="72" t="n">
        <v>10.5</v>
      </c>
      <c r="E23" s="73" t="n">
        <v>46150</v>
      </c>
      <c r="F23" s="73" t="n">
        <v>46150</v>
      </c>
      <c r="G23" s="74" t="n">
        <v>0.0128205128205128</v>
      </c>
      <c r="H23" s="75" t="n">
        <v>0.435897435897436</v>
      </c>
      <c r="I23" s="76" t="n">
        <v>0</v>
      </c>
      <c r="J23" s="77">
        <f>IF(I23=0,"⬜ Sin iniciar",IF(I23&gt;=H23,"✅ Cumplido",IF(I23&gt;0,"⚠️ En progreso","")))</f>
        <v/>
      </c>
    </row>
    <row r="24" ht="15.75" customHeight="1" s="59">
      <c r="A24" s="70" t="n">
        <v>21</v>
      </c>
      <c r="B24" s="70" t="n">
        <v>3</v>
      </c>
      <c r="C24" s="71" t="inlineStr">
        <is>
          <t xml:space="preserve">    Posicionamiento de generador CAT</t>
        </is>
      </c>
      <c r="D24" s="72" t="n">
        <v>10.5</v>
      </c>
      <c r="E24" s="73" t="n">
        <v>46147</v>
      </c>
      <c r="F24" s="73" t="n">
        <v>46147</v>
      </c>
      <c r="G24" s="74" t="n">
        <v>0.0128205128205128</v>
      </c>
      <c r="H24" s="75" t="n">
        <v>0.294871794871795</v>
      </c>
      <c r="I24" s="76" t="n">
        <v>0</v>
      </c>
      <c r="J24" s="77">
        <f>IF(I24=0,"⬜ Sin iniciar",IF(I24&gt;=H24,"✅ Cumplido",IF(I24&gt;0,"⚠️ En progreso","")))</f>
        <v/>
      </c>
    </row>
    <row r="25" ht="15.75" customHeight="1" s="59">
      <c r="A25" s="70" t="n">
        <v>22</v>
      </c>
      <c r="B25" s="70" t="n">
        <v>3</v>
      </c>
      <c r="C25" s="71" t="inlineStr">
        <is>
          <t xml:space="preserve">    Conexionado de generador CAT</t>
        </is>
      </c>
      <c r="D25" s="72" t="n">
        <v>21</v>
      </c>
      <c r="E25" s="73" t="n">
        <v>46148</v>
      </c>
      <c r="F25" s="73" t="n">
        <v>46149</v>
      </c>
      <c r="G25" s="74" t="n">
        <v>0.0256410256410256</v>
      </c>
      <c r="H25" s="75" t="n">
        <v>0.41025641025641</v>
      </c>
      <c r="I25" s="76" t="n">
        <v>0</v>
      </c>
      <c r="J25" s="77">
        <f>IF(I25=0,"⬜ Sin iniciar",IF(I25&gt;=H25,"✅ Cumplido",IF(I25&gt;0,"⚠️ En progreso","")))</f>
        <v/>
      </c>
    </row>
    <row r="26" ht="15.75" customHeight="1" s="59">
      <c r="A26" s="70" t="n">
        <v>23</v>
      </c>
      <c r="B26" s="70" t="n">
        <v>3</v>
      </c>
      <c r="C26" s="71" t="inlineStr">
        <is>
          <t xml:space="preserve">    Fabricación de soportes de transformador</t>
        </is>
      </c>
      <c r="D26" s="72" t="n">
        <v>52.5</v>
      </c>
      <c r="E26" s="73" t="n">
        <v>46143</v>
      </c>
      <c r="F26" s="73" t="n">
        <v>46148</v>
      </c>
      <c r="G26" s="74" t="n">
        <v>0.0641025641025641</v>
      </c>
      <c r="H26" s="75" t="n">
        <v>0.358974358974359</v>
      </c>
      <c r="I26" s="76" t="n">
        <v>0</v>
      </c>
      <c r="J26" s="77">
        <f>IF(I26=0,"⬜ Sin iniciar",IF(I26&gt;=H26,"✅ Cumplido",IF(I26&gt;0,"⚠️ En progreso","")))</f>
        <v/>
      </c>
    </row>
    <row r="27" ht="15.75" customHeight="1" s="59">
      <c r="A27" s="70" t="n">
        <v>24</v>
      </c>
      <c r="B27" s="70" t="n">
        <v>3</v>
      </c>
      <c r="C27" s="71" t="inlineStr">
        <is>
          <t xml:space="preserve">    Posicionamiento de transformador</t>
        </is>
      </c>
      <c r="D27" s="72" t="n">
        <v>10.5</v>
      </c>
      <c r="E27" s="73" t="n">
        <v>46149</v>
      </c>
      <c r="F27" s="73" t="n">
        <v>46149</v>
      </c>
      <c r="G27" s="74" t="n">
        <v>0.0128205128205128</v>
      </c>
      <c r="H27" s="75" t="n">
        <v>0.423076923076923</v>
      </c>
      <c r="I27" s="76" t="n">
        <v>0</v>
      </c>
      <c r="J27" s="77">
        <f>IF(I27=0,"⬜ Sin iniciar",IF(I27&gt;=H27,"✅ Cumplido",IF(I27&gt;0,"⚠️ En progreso","")))</f>
        <v/>
      </c>
    </row>
    <row r="28" ht="15.75" customHeight="1" s="59">
      <c r="A28" s="70" t="n">
        <v>25</v>
      </c>
      <c r="B28" s="70" t="n">
        <v>3</v>
      </c>
      <c r="C28" s="71" t="inlineStr">
        <is>
          <t xml:space="preserve">    Tendido de cable de potencia</t>
        </is>
      </c>
      <c r="D28" s="72" t="n">
        <v>63</v>
      </c>
      <c r="E28" s="73" t="n">
        <v>46149</v>
      </c>
      <c r="F28" s="73" t="n">
        <v>46152</v>
      </c>
      <c r="G28" s="74" t="n">
        <v>0.0769230769230769</v>
      </c>
      <c r="H28" s="75" t="n">
        <v>0.551282051282051</v>
      </c>
      <c r="I28" s="76" t="n">
        <v>0</v>
      </c>
      <c r="J28" s="77">
        <f>IF(I28=0,"⬜ Sin iniciar",IF(I28&gt;=H28,"✅ Cumplido",IF(I28&gt;0,"⚠️ En progreso","")))</f>
        <v/>
      </c>
    </row>
    <row r="29" ht="15.75" customHeight="1" s="59">
      <c r="A29" s="70" t="n">
        <v>26</v>
      </c>
      <c r="B29" s="70" t="n">
        <v>3</v>
      </c>
      <c r="C29" s="71" t="inlineStr">
        <is>
          <t xml:space="preserve">    Llegada de materiales PAC</t>
        </is>
      </c>
      <c r="D29" s="72" t="n">
        <v>10.5</v>
      </c>
      <c r="E29" s="73" t="n">
        <v>46150</v>
      </c>
      <c r="F29" s="73" t="n">
        <v>46150</v>
      </c>
      <c r="G29" s="74" t="n">
        <v>0.0128205128205128</v>
      </c>
      <c r="H29" s="75" t="n">
        <v>0.448717948717949</v>
      </c>
      <c r="I29" s="76" t="n">
        <v>0</v>
      </c>
      <c r="J29" s="77">
        <f>IF(I29=0,"⬜ Sin iniciar",IF(I29&gt;=H29,"✅ Cumplido",IF(I29&gt;0,"⚠️ En progreso","")))</f>
        <v/>
      </c>
    </row>
    <row r="30" ht="15.75" customHeight="1" s="59">
      <c r="A30" s="70" t="n">
        <v>27</v>
      </c>
      <c r="B30" s="70" t="n">
        <v>3</v>
      </c>
      <c r="C30" s="71" t="inlineStr">
        <is>
          <t xml:space="preserve">    Cableado de control (4x16 2x16)</t>
        </is>
      </c>
      <c r="D30" s="72" t="n">
        <v>21</v>
      </c>
      <c r="E30" s="73" t="n">
        <v>46151</v>
      </c>
      <c r="F30" s="73" t="n">
        <v>46152</v>
      </c>
      <c r="G30" s="74" t="n">
        <v>0.0256410256410256</v>
      </c>
      <c r="H30" s="75" t="n">
        <v>0.576923076923077</v>
      </c>
      <c r="I30" s="76" t="n">
        <v>0</v>
      </c>
      <c r="J30" s="77">
        <f>IF(I30=0,"⬜ Sin iniciar",IF(I30&gt;=H30,"✅ Cumplido",IF(I30&gt;0,"⚠️ En progreso","")))</f>
        <v/>
      </c>
    </row>
    <row r="31" ht="15.75" customHeight="1" s="59">
      <c r="A31" s="70" t="n">
        <v>28</v>
      </c>
      <c r="B31" s="70" t="n">
        <v>3</v>
      </c>
      <c r="C31" s="71" t="inlineStr">
        <is>
          <t xml:space="preserve">    Pruebas de arranque del generador 1M</t>
        </is>
      </c>
      <c r="D31" s="72" t="n">
        <v>10.5</v>
      </c>
      <c r="E31" s="73" t="n">
        <v>46150</v>
      </c>
      <c r="F31" s="73" t="n">
        <v>46150</v>
      </c>
      <c r="G31" s="74" t="n">
        <v>0.0128205128205128</v>
      </c>
      <c r="H31" s="75" t="n">
        <v>0.461538461538462</v>
      </c>
      <c r="I31" s="76" t="n">
        <v>0</v>
      </c>
      <c r="J31" s="77">
        <f>IF(I31=0,"⬜ Sin iniciar",IF(I31&gt;=H31,"✅ Cumplido",IF(I31&gt;0,"⚠️ En progreso","")))</f>
        <v/>
      </c>
    </row>
    <row r="32" ht="15.75" customHeight="1" s="59">
      <c r="A32" s="70" t="n">
        <v>29</v>
      </c>
      <c r="B32" s="70" t="n">
        <v>3</v>
      </c>
      <c r="C32" s="71" t="inlineStr">
        <is>
          <t xml:space="preserve">    Cableado de control a generador Cummis (1M)</t>
        </is>
      </c>
      <c r="D32" s="72" t="n">
        <v>10.5</v>
      </c>
      <c r="E32" s="73" t="n">
        <v>46151</v>
      </c>
      <c r="F32" s="73" t="n">
        <v>46151</v>
      </c>
      <c r="G32" s="74" t="n">
        <v>0.0128205128205128</v>
      </c>
      <c r="H32" s="75" t="n">
        <v>0.474358974358975</v>
      </c>
      <c r="I32" s="76" t="n">
        <v>0</v>
      </c>
      <c r="J32" s="77">
        <f>IF(I32=0,"⬜ Sin iniciar",IF(I32&gt;=H32,"✅ Cumplido",IF(I32&gt;0,"⚠️ En progreso","")))</f>
        <v/>
      </c>
    </row>
    <row r="33" ht="15.75" customHeight="1" s="59">
      <c r="A33" s="70" t="n">
        <v>30</v>
      </c>
      <c r="B33" s="70" t="n">
        <v>3</v>
      </c>
      <c r="C33" s="71" t="inlineStr">
        <is>
          <t xml:space="preserve">    Paro de bombeo</t>
        </is>
      </c>
      <c r="D33" s="72" t="n">
        <v>31.5</v>
      </c>
      <c r="E33" s="73" t="n">
        <v>46154</v>
      </c>
      <c r="F33" s="73" t="n">
        <v>46156</v>
      </c>
      <c r="G33" s="74" t="n">
        <v>0.0384615384615385</v>
      </c>
      <c r="H33" s="75" t="n">
        <v>0.7692307692307691</v>
      </c>
      <c r="I33" s="76" t="n">
        <v>0</v>
      </c>
      <c r="J33" s="77">
        <f>IF(I33=0,"⬜ Sin iniciar",IF(I33&gt;=H33,"✅ Cumplido",IF(I33&gt;0,"⚠️ En progreso","")))</f>
        <v/>
      </c>
    </row>
    <row r="34" ht="15.75" customHeight="1" s="59">
      <c r="A34" s="70" t="n">
        <v>31</v>
      </c>
      <c r="B34" s="70" t="n">
        <v>3</v>
      </c>
      <c r="C34" s="71" t="inlineStr">
        <is>
          <t xml:space="preserve">    Acometida eléctrica desde CCM para gen. CAT</t>
        </is>
      </c>
      <c r="D34" s="72" t="n">
        <v>10.5</v>
      </c>
      <c r="E34" s="73" t="n">
        <v>46154</v>
      </c>
      <c r="F34" s="73" t="n">
        <v>46154</v>
      </c>
      <c r="G34" s="74" t="n">
        <v>0.0128205128205128</v>
      </c>
      <c r="H34" s="75" t="n">
        <v>0.58974358974359</v>
      </c>
      <c r="I34" s="76" t="n">
        <v>0</v>
      </c>
      <c r="J34" s="77">
        <f>IF(I34=0,"⬜ Sin iniciar",IF(I34&gt;=H34,"✅ Cumplido",IF(I34&gt;0,"⚠️ En progreso","")))</f>
        <v/>
      </c>
    </row>
    <row r="35" ht="15.75" customHeight="1" s="59">
      <c r="A35" s="70" t="n">
        <v>32</v>
      </c>
      <c r="B35" s="70" t="n">
        <v>3</v>
      </c>
      <c r="C35" s="71" t="inlineStr">
        <is>
          <t xml:space="preserve">    Adecuación eléctrica del generador 750 kVa</t>
        </is>
      </c>
      <c r="D35" s="72" t="n">
        <v>10.5</v>
      </c>
      <c r="E35" s="73" t="n">
        <v>46154</v>
      </c>
      <c r="F35" s="73" t="n">
        <v>46154</v>
      </c>
      <c r="G35" s="74" t="n">
        <v>0.0128205128205128</v>
      </c>
      <c r="H35" s="75" t="n">
        <v>0.602564102564103</v>
      </c>
      <c r="I35" s="76" t="n">
        <v>0</v>
      </c>
      <c r="J35" s="77">
        <f>IF(I35=0,"⬜ Sin iniciar",IF(I35&gt;=H35,"✅ Cumplido",IF(I35&gt;0,"⚠️ En progreso","")))</f>
        <v/>
      </c>
    </row>
    <row r="36" ht="15.75" customHeight="1" s="59">
      <c r="A36" s="70" t="n">
        <v>33</v>
      </c>
      <c r="B36" s="70" t="n">
        <v>3</v>
      </c>
      <c r="C36" s="71" t="inlineStr">
        <is>
          <t xml:space="preserve">    Cambio de conexiones de barraje 6.3 a 480</t>
        </is>
      </c>
      <c r="D36" s="72" t="n">
        <v>10.5</v>
      </c>
      <c r="E36" s="73" t="n">
        <v>46154</v>
      </c>
      <c r="F36" s="73" t="n">
        <v>46154</v>
      </c>
      <c r="G36" s="74" t="n">
        <v>0.0128205128205128</v>
      </c>
      <c r="H36" s="75" t="n">
        <v>0.615384615384615</v>
      </c>
      <c r="I36" s="76" t="n">
        <v>0</v>
      </c>
      <c r="J36" s="77">
        <f>IF(I36=0,"⬜ Sin iniciar",IF(I36&gt;=H36,"✅ Cumplido",IF(I36&gt;0,"⚠️ En progreso","")))</f>
        <v/>
      </c>
    </row>
    <row r="37" ht="15.75" customHeight="1" s="59">
      <c r="A37" s="70" t="n">
        <v>34</v>
      </c>
      <c r="B37" s="70" t="n">
        <v>3</v>
      </c>
      <c r="C37" s="71" t="inlineStr">
        <is>
          <t xml:space="preserve">    Tendido ctrl a interruptores de media tensión</t>
        </is>
      </c>
      <c r="D37" s="72" t="n">
        <v>10.5</v>
      </c>
      <c r="E37" s="73" t="n">
        <v>46154</v>
      </c>
      <c r="F37" s="73" t="n">
        <v>46154</v>
      </c>
      <c r="G37" s="74" t="n">
        <v>0.0128205128205128</v>
      </c>
      <c r="H37" s="75" t="n">
        <v>0.628205128205128</v>
      </c>
      <c r="I37" s="76" t="n">
        <v>0</v>
      </c>
      <c r="J37" s="77">
        <f>IF(I37=0,"⬜ Sin iniciar",IF(I37&gt;=H37,"✅ Cumplido",IF(I37&gt;0,"⚠️ En progreso","")))</f>
        <v/>
      </c>
    </row>
    <row r="38" ht="15.75" customHeight="1" s="59">
      <c r="A38" s="70" t="n">
        <v>35</v>
      </c>
      <c r="B38" s="70" t="n">
        <v>3</v>
      </c>
      <c r="C38" s="71" t="inlineStr">
        <is>
          <t xml:space="preserve">    Pruebas de estado de interruptores MT</t>
        </is>
      </c>
      <c r="D38" s="72" t="n">
        <v>10.5</v>
      </c>
      <c r="E38" s="73" t="n">
        <v>46155</v>
      </c>
      <c r="F38" s="73" t="n">
        <v>46155</v>
      </c>
      <c r="G38" s="74" t="n">
        <v>0.0128205128205128</v>
      </c>
      <c r="H38" s="75" t="n">
        <v>0.679487179487179</v>
      </c>
      <c r="I38" s="76" t="n">
        <v>0</v>
      </c>
      <c r="J38" s="77">
        <f>IF(I38=0,"⬜ Sin iniciar",IF(I38&gt;=H38,"✅ Cumplido",IF(I38&gt;0,"⚠️ En progreso","")))</f>
        <v/>
      </c>
    </row>
    <row r="39" ht="15.75" customHeight="1" s="59">
      <c r="A39" s="70" t="n">
        <v>36</v>
      </c>
      <c r="B39" s="70" t="n">
        <v>3</v>
      </c>
      <c r="C39" s="71" t="inlineStr">
        <is>
          <t xml:space="preserve">    Tendido ctrl a interruptor QP1 480 kVa</t>
        </is>
      </c>
      <c r="D39" s="72" t="n">
        <v>10.5</v>
      </c>
      <c r="E39" s="73" t="n">
        <v>46154</v>
      </c>
      <c r="F39" s="73" t="n">
        <v>46154</v>
      </c>
      <c r="G39" s="74" t="n">
        <v>0.0128205128205128</v>
      </c>
      <c r="H39" s="75" t="n">
        <v>0.641025641025641</v>
      </c>
      <c r="I39" s="76" t="n">
        <v>0</v>
      </c>
      <c r="J39" s="77">
        <f>IF(I39=0,"⬜ Sin iniciar",IF(I39&gt;=H39,"✅ Cumplido",IF(I39&gt;0,"⚠️ En progreso","")))</f>
        <v/>
      </c>
    </row>
    <row r="40" ht="15.75" customHeight="1" s="59">
      <c r="A40" s="70" t="n">
        <v>37</v>
      </c>
      <c r="B40" s="70" t="n">
        <v>3</v>
      </c>
      <c r="C40" s="71" t="inlineStr">
        <is>
          <t xml:space="preserve">    Pruebas de estado de interruptor QP1</t>
        </is>
      </c>
      <c r="D40" s="72" t="n">
        <v>10.5</v>
      </c>
      <c r="E40" s="73" t="n">
        <v>46155</v>
      </c>
      <c r="F40" s="73" t="n">
        <v>46155</v>
      </c>
      <c r="G40" s="74" t="n">
        <v>0.0128205128205128</v>
      </c>
      <c r="H40" s="75" t="n">
        <v>0.692307692307692</v>
      </c>
      <c r="I40" s="76" t="n">
        <v>0</v>
      </c>
      <c r="J40" s="77">
        <f>IF(I40=0,"⬜ Sin iniciar",IF(I40&gt;=H40,"✅ Cumplido",IF(I40&gt;0,"⚠️ En progreso","")))</f>
        <v/>
      </c>
    </row>
    <row r="41" ht="15.75" customHeight="1" s="59">
      <c r="A41" s="70" t="n">
        <v>38</v>
      </c>
      <c r="B41" s="70" t="n">
        <v>3</v>
      </c>
      <c r="C41" s="71" t="inlineStr">
        <is>
          <t xml:space="preserve">    Tendido ctrl a interruptor QP2 480 kVa</t>
        </is>
      </c>
      <c r="D41" s="72" t="n">
        <v>10.5</v>
      </c>
      <c r="E41" s="73" t="n">
        <v>46154</v>
      </c>
      <c r="F41" s="73" t="n">
        <v>46154</v>
      </c>
      <c r="G41" s="74" t="n">
        <v>0.0128205128205128</v>
      </c>
      <c r="H41" s="75" t="n">
        <v>0.653846153846154</v>
      </c>
      <c r="I41" s="76" t="n">
        <v>0</v>
      </c>
      <c r="J41" s="77">
        <f>IF(I41=0,"⬜ Sin iniciar",IF(I41&gt;=H41,"✅ Cumplido",IF(I41&gt;0,"⚠️ En progreso","")))</f>
        <v/>
      </c>
    </row>
    <row r="42" ht="15.75" customHeight="1" s="59">
      <c r="A42" s="70" t="n">
        <v>39</v>
      </c>
      <c r="B42" s="70" t="n">
        <v>3</v>
      </c>
      <c r="C42" s="71" t="inlineStr">
        <is>
          <t xml:space="preserve">    Pruebas de estado de interruptor QP2</t>
        </is>
      </c>
      <c r="D42" s="72" t="n">
        <v>10.5</v>
      </c>
      <c r="E42" s="73" t="n">
        <v>46155</v>
      </c>
      <c r="F42" s="73" t="n">
        <v>46155</v>
      </c>
      <c r="G42" s="74" t="n">
        <v>0.0128205128205128</v>
      </c>
      <c r="H42" s="75" t="n">
        <v>0.705128205128205</v>
      </c>
      <c r="I42" s="76" t="n">
        <v>0</v>
      </c>
      <c r="J42" s="77">
        <f>IF(I42=0,"⬜ Sin iniciar",IF(I42&gt;=H42,"✅ Cumplido",IF(I42&gt;0,"⚠️ En progreso","")))</f>
        <v/>
      </c>
    </row>
    <row r="43" ht="15.75" customHeight="1" s="59">
      <c r="A43" s="70" t="n">
        <v>40</v>
      </c>
      <c r="B43" s="70" t="n">
        <v>3</v>
      </c>
      <c r="C43" s="71" t="inlineStr">
        <is>
          <t xml:space="preserve">    Tendido ctrl a interruptor Q1676E 480 kVa</t>
        </is>
      </c>
      <c r="D43" s="72" t="n">
        <v>10.5</v>
      </c>
      <c r="E43" s="73" t="n">
        <v>46154</v>
      </c>
      <c r="F43" s="73" t="n">
        <v>46154</v>
      </c>
      <c r="G43" s="74" t="n">
        <v>0.0128205128205128</v>
      </c>
      <c r="H43" s="75" t="n">
        <v>0.666666666666666</v>
      </c>
      <c r="I43" s="76" t="n">
        <v>0</v>
      </c>
      <c r="J43" s="77">
        <f>IF(I43=0,"⬜ Sin iniciar",IF(I43&gt;=H43,"✅ Cumplido",IF(I43&gt;0,"⚠️ En progreso","")))</f>
        <v/>
      </c>
    </row>
    <row r="44" ht="15.75" customHeight="1" s="59">
      <c r="A44" s="70" t="n">
        <v>41</v>
      </c>
      <c r="B44" s="70" t="n">
        <v>3</v>
      </c>
      <c r="C44" s="71" t="inlineStr">
        <is>
          <t xml:space="preserve">    Pruebas de estado de interruptor Q1676E</t>
        </is>
      </c>
      <c r="D44" s="72" t="n">
        <v>10.5</v>
      </c>
      <c r="E44" s="73" t="n">
        <v>46155</v>
      </c>
      <c r="F44" s="73" t="n">
        <v>46155</v>
      </c>
      <c r="G44" s="74" t="n">
        <v>0.0128205128205128</v>
      </c>
      <c r="H44" s="75" t="n">
        <v>0.717948717948718</v>
      </c>
      <c r="I44" s="76" t="n">
        <v>0</v>
      </c>
      <c r="J44" s="77">
        <f>IF(I44=0,"⬜ Sin iniciar",IF(I44&gt;=H44,"✅ Cumplido",IF(I44&gt;0,"⚠️ En progreso","")))</f>
        <v/>
      </c>
    </row>
    <row r="45" ht="15.75" customHeight="1" s="59">
      <c r="A45" s="70" t="n">
        <v>42</v>
      </c>
      <c r="B45" s="70" t="n">
        <v>3</v>
      </c>
      <c r="C45" s="71" t="inlineStr">
        <is>
          <t xml:space="preserve">    Pruebas y ajustes del generador CAT con carga</t>
        </is>
      </c>
      <c r="D45" s="72" t="n">
        <v>10.5</v>
      </c>
      <c r="E45" s="73" t="n">
        <v>46155</v>
      </c>
      <c r="F45" s="73" t="n">
        <v>46155</v>
      </c>
      <c r="G45" s="74" t="n">
        <v>0.0128205128205128</v>
      </c>
      <c r="H45" s="75" t="n">
        <v>0.7307692307692299</v>
      </c>
      <c r="I45" s="76" t="n">
        <v>0</v>
      </c>
      <c r="J45" s="77">
        <f>IF(I45=0,"⬜ Sin iniciar",IF(I45&gt;=H45,"✅ Cumplido",IF(I45&gt;0,"⚠️ En progreso","")))</f>
        <v/>
      </c>
    </row>
    <row r="46" ht="15.75" customHeight="1" s="59">
      <c r="A46" s="70" t="n">
        <v>43</v>
      </c>
      <c r="B46" s="70" t="n">
        <v>3</v>
      </c>
      <c r="C46" s="71" t="inlineStr">
        <is>
          <t xml:space="preserve">    Enlaces de comunicaciones</t>
        </is>
      </c>
      <c r="D46" s="72" t="n">
        <v>21</v>
      </c>
      <c r="E46" s="73" t="n">
        <v>46156</v>
      </c>
      <c r="F46" s="73" t="n">
        <v>46157</v>
      </c>
      <c r="G46" s="74" t="n">
        <v>0.0256410256410256</v>
      </c>
      <c r="H46" s="75" t="n">
        <v>0.794871794871794</v>
      </c>
      <c r="I46" s="76" t="n">
        <v>0</v>
      </c>
      <c r="J46" s="77">
        <f>IF(I46=0,"⬜ Sin iniciar",IF(I46&gt;=H46,"✅ Cumplido",IF(I46&gt;0,"⚠️ En progreso","")))</f>
        <v/>
      </c>
    </row>
    <row r="47" ht="15.75" customHeight="1" s="59">
      <c r="A47" s="70" t="n">
        <v>44</v>
      </c>
      <c r="B47" s="70" t="n">
        <v>3</v>
      </c>
      <c r="C47" s="71" t="inlineStr">
        <is>
          <t xml:space="preserve">    Pruebas de sincronismo / pruebas con carga (HMI)</t>
        </is>
      </c>
      <c r="D47" s="72" t="n">
        <v>21</v>
      </c>
      <c r="E47" s="73" t="n">
        <v>46160</v>
      </c>
      <c r="F47" s="73" t="n">
        <v>46161</v>
      </c>
      <c r="G47" s="74" t="n">
        <v>0.0256410256410256</v>
      </c>
      <c r="H47" s="75" t="n">
        <v>0.82051282051282</v>
      </c>
      <c r="I47" s="76" t="n">
        <v>0</v>
      </c>
      <c r="J47" s="77">
        <f>IF(I47=0,"⬜ Sin iniciar",IF(I47&gt;=H47,"✅ Cumplido",IF(I47&gt;0,"⚠️ En progreso","")))</f>
        <v/>
      </c>
    </row>
    <row r="48" ht="15.75" customHeight="1" s="59">
      <c r="A48" s="70" t="n">
        <v>45</v>
      </c>
      <c r="B48" s="70" t="n">
        <v>3</v>
      </c>
      <c r="C48" s="71" t="inlineStr">
        <is>
          <t xml:space="preserve">    Cambio de interruptor en generador Cummins</t>
        </is>
      </c>
      <c r="D48" s="72" t="n">
        <v>21</v>
      </c>
      <c r="E48" s="73" t="n">
        <v>46161</v>
      </c>
      <c r="F48" s="73" t="n">
        <v>46162</v>
      </c>
      <c r="G48" s="74" t="n">
        <v>0.0256410256410256</v>
      </c>
      <c r="H48" s="75" t="n">
        <v>0.846153846153846</v>
      </c>
      <c r="I48" s="76" t="n">
        <v>0</v>
      </c>
      <c r="J48" s="77">
        <f>IF(I48=0,"⬜ Sin iniciar",IF(I48&gt;=H48,"✅ Cumplido",IF(I48&gt;0,"⚠️ En progreso","")))</f>
        <v/>
      </c>
    </row>
    <row r="49" ht="15.75" customHeight="1" s="59">
      <c r="A49" s="70" t="n">
        <v>46</v>
      </c>
      <c r="B49" s="70" t="n">
        <v>3</v>
      </c>
      <c r="C49" s="71" t="inlineStr">
        <is>
          <t xml:space="preserve">    Pruebas de control y ajuste a generador Cummis</t>
        </is>
      </c>
      <c r="D49" s="72" t="n">
        <v>10.5</v>
      </c>
      <c r="E49" s="73" t="n">
        <v>46163</v>
      </c>
      <c r="F49" s="73" t="n">
        <v>46163</v>
      </c>
      <c r="G49" s="74" t="n">
        <v>0.0128205128205128</v>
      </c>
      <c r="H49" s="75" t="n">
        <v>0.858974358974359</v>
      </c>
      <c r="I49" s="76" t="n">
        <v>0</v>
      </c>
      <c r="J49" s="77">
        <f>IF(I49=0,"⬜ Sin iniciar",IF(I49&gt;=H49,"✅ Cumplido",IF(I49&gt;0,"⚠️ En progreso","")))</f>
        <v/>
      </c>
    </row>
    <row r="50" ht="15.75" customHeight="1" s="59">
      <c r="A50" s="70" t="n">
        <v>47</v>
      </c>
      <c r="B50" s="70" t="n">
        <v>3</v>
      </c>
      <c r="C50" s="71" t="inlineStr">
        <is>
          <t xml:space="preserve">    Pruebas con carga a generador Cummins</t>
        </is>
      </c>
      <c r="D50" s="72" t="n">
        <v>10.5</v>
      </c>
      <c r="E50" s="73" t="n">
        <v>46164</v>
      </c>
      <c r="F50" s="73" t="n">
        <v>46164</v>
      </c>
      <c r="G50" s="74" t="n">
        <v>0.0128205128205128</v>
      </c>
      <c r="H50" s="75" t="n">
        <v>0.871794871794871</v>
      </c>
      <c r="I50" s="76" t="n">
        <v>0</v>
      </c>
      <c r="J50" s="77">
        <f>IF(I50=0,"⬜ Sin iniciar",IF(I50&gt;=H50,"✅ Cumplido",IF(I50&gt;0,"⚠️ En progreso","")))</f>
        <v/>
      </c>
    </row>
    <row r="51" ht="15.75" customHeight="1" s="59">
      <c r="A51" s="66" t="n">
        <v>48</v>
      </c>
      <c r="B51" s="66" t="n">
        <v>2</v>
      </c>
      <c r="C51" s="67" t="inlineStr">
        <is>
          <t xml:space="preserve">  FASE DE CIERRE</t>
        </is>
      </c>
      <c r="D51" s="69" t="n">
        <v>105</v>
      </c>
      <c r="E51" s="68" t="n">
        <v>46156</v>
      </c>
      <c r="F51" s="68" t="n">
        <v>46169</v>
      </c>
      <c r="G51" s="66" t="n"/>
      <c r="H51" s="66" t="n"/>
      <c r="I51" s="66" t="n"/>
      <c r="J51" s="66" t="n"/>
    </row>
    <row r="52" ht="15.75" customHeight="1" s="59">
      <c r="A52" s="70" t="n">
        <v>49</v>
      </c>
      <c r="B52" s="70" t="n">
        <v>3</v>
      </c>
      <c r="C52" s="71" t="inlineStr">
        <is>
          <t xml:space="preserve">    Elaboración de informe</t>
        </is>
      </c>
      <c r="D52" s="72" t="n">
        <v>84</v>
      </c>
      <c r="E52" s="73" t="n">
        <v>46156</v>
      </c>
      <c r="F52" s="73" t="n">
        <v>46167</v>
      </c>
      <c r="G52" s="74" t="n">
        <v>0.102564102564103</v>
      </c>
      <c r="H52" s="75" t="n">
        <v>0.974358974358974</v>
      </c>
      <c r="I52" s="76" t="n">
        <v>0</v>
      </c>
      <c r="J52" s="77">
        <f>IF(I52=0,"⬜ Sin iniciar",IF(I52&gt;=H52,"✅ Cumplido",IF(I52&gt;0,"⚠️ En progreso","")))</f>
        <v/>
      </c>
    </row>
    <row r="53" ht="15.75" customHeight="1" s="59">
      <c r="A53" s="70" t="n">
        <v>50</v>
      </c>
      <c r="B53" s="70" t="n">
        <v>3</v>
      </c>
      <c r="C53" s="71" t="inlineStr">
        <is>
          <t xml:space="preserve">    Generación ruta horus</t>
        </is>
      </c>
      <c r="D53" s="72" t="n">
        <v>10.5</v>
      </c>
      <c r="E53" s="73" t="n">
        <v>46168</v>
      </c>
      <c r="F53" s="73" t="n">
        <v>46168</v>
      </c>
      <c r="G53" s="74" t="n">
        <v>0.0128205128205128</v>
      </c>
      <c r="H53" s="75" t="n">
        <v>0.987179487179487</v>
      </c>
      <c r="I53" s="76" t="n">
        <v>0</v>
      </c>
      <c r="J53" s="77">
        <f>IF(I53=0,"⬜ Sin iniciar",IF(I53&gt;=H53,"✅ Cumplido",IF(I53&gt;0,"⚠️ En progreso","")))</f>
        <v/>
      </c>
    </row>
    <row r="54" ht="15.75" customHeight="1" s="59">
      <c r="A54" s="70" t="n">
        <v>51</v>
      </c>
      <c r="B54" s="70" t="n">
        <v>3</v>
      </c>
      <c r="C54" s="71" t="inlineStr">
        <is>
          <t xml:space="preserve">    Firma acta de actividades (Cliente)</t>
        </is>
      </c>
      <c r="D54" s="72" t="n">
        <v>10.5</v>
      </c>
      <c r="E54" s="73" t="n">
        <v>46169</v>
      </c>
      <c r="F54" s="73" t="n">
        <v>46169</v>
      </c>
      <c r="G54" s="74" t="n">
        <v>0.0128205128205128</v>
      </c>
      <c r="H54" s="75" t="n">
        <v>0.999999999999999</v>
      </c>
      <c r="I54" s="76" t="n">
        <v>0</v>
      </c>
      <c r="J54" s="77">
        <f>IF(I54=0,"⬜ Sin iniciar",IF(I54&gt;=H54,"✅ Cumplido",IF(I54&gt;0,"⚠️ En progreso","")))</f>
        <v/>
      </c>
    </row>
    <row r="55" ht="15.75" customHeight="1" s="59">
      <c r="A55" s="66" t="n">
        <v>52</v>
      </c>
      <c r="B55" s="66" t="n">
        <v>2</v>
      </c>
      <c r="C55" s="67" t="inlineStr">
        <is>
          <t xml:space="preserve">  Fin (Hito)</t>
        </is>
      </c>
      <c r="D55" s="66" t="inlineStr">
        <is>
          <t>Hito</t>
        </is>
      </c>
      <c r="E55" s="68" t="n">
        <v>46169</v>
      </c>
      <c r="F55" s="68" t="n">
        <v>46169</v>
      </c>
      <c r="G55" s="66" t="n"/>
      <c r="H55" s="66" t="n"/>
      <c r="I55" s="66" t="n"/>
      <c r="J55" s="66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2026-05-10T03:15:38Z</dcterms:created>
  <dcterms:modified xmlns:dcterms="http://purl.org/dc/terms/" xmlns:xsi="http://www.w3.org/2001/XMLSchema-instance" xsi:type="dcterms:W3CDTF">2026-05-10T03:15:52Z</dcterms:modified>
  <cp:revision>1</cp:revision>
</cp:coreProperties>
</file>